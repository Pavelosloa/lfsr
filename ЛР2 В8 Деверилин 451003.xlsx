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е" sheetId="1" state="visible" r:id="rId1"/>
    <sheet xmlns:r="http://schemas.openxmlformats.org/officeDocument/2006/relationships" name="Прямая задача" sheetId="2" state="visible" r:id="rId2"/>
    <sheet xmlns:r="http://schemas.openxmlformats.org/officeDocument/2006/relationships" name="Симплекс-метод" sheetId="3" state="visible" r:id="rId3"/>
    <sheet xmlns:r="http://schemas.openxmlformats.org/officeDocument/2006/relationships" name="Двойственная задача" sheetId="4" state="visible" r:id="rId4"/>
    <sheet xmlns:r="http://schemas.openxmlformats.org/officeDocument/2006/relationships" name="Отчёты" sheetId="5" state="visible" r:id="rId5"/>
    <sheet xmlns:r="http://schemas.openxmlformats.org/officeDocument/2006/relationships" name="Анализ" sheetId="6" state="visible" r:id="rId6"/>
  </sheets>
  <definedNames>
    <definedName name="solver_opt" localSheetId="1" hidden="1">'Прямая задача'!$F$6</definedName>
    <definedName name="solver_typ" localSheetId="1" hidden="1">1</definedName>
    <definedName name="solver_val" localSheetId="1" hidden="1">0</definedName>
    <definedName name="solver_adj" localSheetId="1" hidden="1">'Прямая задача'!$B$5:$D$5</definedName>
    <definedName name="solver_num" localSheetId="1" hidden="1">2</definedName>
    <definedName name="solver_lin" localSheetId="1" hidden="1">1</definedName>
    <definedName name="solver_neg" localSheetId="1" hidden="1">1</definedName>
    <definedName name="solver_eng" localSheetId="1" hidden="1">2</definedName>
    <definedName name="solver_ver" localSheetId="1" hidden="1">3</definedName>
    <definedName name="solver_cvg" localSheetId="1" hidden="1">0.0001</definedName>
    <definedName name="solver_drv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od" localSheetId="1" hidden="1">2147483647</definedName>
    <definedName name="solver_nwt" localSheetId="1" hidden="1">1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lhs1" localSheetId="1" hidden="1">'Прямая задача'!$E$9:$E$10</definedName>
    <definedName name="solver_rel1" localSheetId="1" hidden="1">1</definedName>
    <definedName name="solver_rhs1" localSheetId="1" hidden="1">'Прямая задача'!$G$9:$G$10</definedName>
    <definedName name="solver_lhs2" localSheetId="1" hidden="1">'Прямая задача'!$E$11</definedName>
    <definedName name="solver_rel2" localSheetId="1" hidden="1">3</definedName>
    <definedName name="solver_rhs2" localSheetId="1" hidden="1">'Прямая задача'!$G$11</definedName>
    <definedName name="solver_opt" localSheetId="3" hidden="1">'Двойственная задача'!$F$6</definedName>
    <definedName name="solver_typ" localSheetId="3" hidden="1">2</definedName>
    <definedName name="solver_val" localSheetId="3" hidden="1">0</definedName>
    <definedName name="solver_adj" localSheetId="3" hidden="1">'Двойственная задача'!$B$5:$D$5</definedName>
    <definedName name="solver_num" localSheetId="3" hidden="1">1</definedName>
    <definedName name="solver_lin" localSheetId="3" hidden="1">1</definedName>
    <definedName name="solver_neg" localSheetId="3" hidden="1">1</definedName>
    <definedName name="solver_eng" localSheetId="3" hidden="1">2</definedName>
    <definedName name="solver_ver" localSheetId="3" hidden="1">3</definedName>
    <definedName name="solver_cvg" localSheetId="3" hidden="1">0.0001</definedName>
    <definedName name="solver_drv" localSheetId="3" hidden="1">1</definedName>
    <definedName name="solver_est" localSheetId="3" hidden="1">1</definedName>
    <definedName name="solver_itr" localSheetId="3" hidden="1">2147483647</definedName>
    <definedName name="solver_mip" localSheetId="3" hidden="1">2147483647</definedName>
    <definedName name="solver_mni" localSheetId="3" hidden="1">30</definedName>
    <definedName name="solver_mrt" localSheetId="3" hidden="1">0.075</definedName>
    <definedName name="solver_msl" localSheetId="3" hidden="1">2</definedName>
    <definedName name="solver_nod" localSheetId="3" hidden="1">2147483647</definedName>
    <definedName name="solver_nwt" localSheetId="3" hidden="1">1</definedName>
    <definedName name="solver_pre" localSheetId="3" hidden="1">0.000001</definedName>
    <definedName name="solver_rbv" localSheetId="3" hidden="1">1</definedName>
    <definedName name="solver_rlx" localSheetId="3" hidden="1">2</definedName>
    <definedName name="solver_rsd" localSheetId="3" hidden="1">0</definedName>
    <definedName name="solver_scl" localSheetId="3" hidden="1">1</definedName>
    <definedName name="solver_sho" localSheetId="3" hidden="1">2</definedName>
    <definedName name="solver_ssz" localSheetId="3" hidden="1">100</definedName>
    <definedName name="solver_tim" localSheetId="3" hidden="1">2147483647</definedName>
    <definedName name="solver_tol" localSheetId="3" hidden="1">0.01</definedName>
    <definedName name="solver_lhs1" localSheetId="3" hidden="1">'Двойственная задача'!$E$9:$E$11</definedName>
    <definedName name="solver_rel1" localSheetId="3" hidden="1">3</definedName>
    <definedName name="solver_rhs1" localSheetId="3" hidden="1">'Двойственная задача'!$G$9:$G$11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6">
    <fill>
      <patternFill/>
    </fill>
    <fill>
      <patternFill patternType="gray125"/>
    </fill>
    <fill>
      <patternFill patternType="solid">
        <fgColor rgb="00BFBFBF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A6A6A6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top" wrapText="1"/>
    </xf>
    <xf numFmtId="164" fontId="4" fillId="4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9" customWidth="1" min="5" max="5"/>
    <col width="15" customWidth="1" min="6" max="6"/>
    <col width="50" customWidth="1" min="7" max="7"/>
  </cols>
  <sheetData>
    <row r="1">
      <c r="A1" s="1" t="inlineStr">
        <is>
          <t>Лабораторная работа №2. Задачи линейного программирования. Вариант 8</t>
        </is>
      </c>
    </row>
    <row r="2">
      <c r="A2" s="2" t="inlineStr">
        <is>
          <t>Деверилин П.П., гр. 451003</t>
        </is>
      </c>
    </row>
    <row r="3" ht="42" customHeight="1">
      <c r="A3" s="3" t="inlineStr">
        <is>
          <t>Магазин оптовой торговли продаёт товары П1, П2, П3. Ограничены полезная площадь (450 м²) и рабочее время (600 чел.-ч). Товарооборот должен быть не меньше 240 тыс. р. Нужно найти план товарооборота с максимальной прибылью.</t>
        </is>
      </c>
    </row>
    <row r="5">
      <c r="A5" s="4" t="inlineStr">
        <is>
          <t>Показатель</t>
        </is>
      </c>
      <c r="B5" s="4" t="inlineStr">
        <is>
          <t>П1</t>
        </is>
      </c>
      <c r="C5" s="4" t="inlineStr">
        <is>
          <t>П2</t>
        </is>
      </c>
      <c r="D5" s="4" t="inlineStr">
        <is>
          <t>П3</t>
        </is>
      </c>
      <c r="E5" s="4" t="inlineStr">
        <is>
          <t>Знак</t>
        </is>
      </c>
      <c r="F5" s="4" t="inlineStr">
        <is>
          <t>Объём ресурса</t>
        </is>
      </c>
      <c r="G5" s="4" t="inlineStr">
        <is>
          <t>Пояснение</t>
        </is>
      </c>
    </row>
    <row r="6">
      <c r="A6" s="5" t="inlineStr">
        <is>
          <t>Полезная площадь, м²</t>
        </is>
      </c>
      <c r="B6" s="6" t="n">
        <v>1.5</v>
      </c>
      <c r="C6" s="6" t="n">
        <v>2</v>
      </c>
      <c r="D6" s="6" t="n">
        <v>3</v>
      </c>
      <c r="E6" s="7" t="inlineStr">
        <is>
          <t>≤</t>
        </is>
      </c>
      <c r="F6" s="6" t="n">
        <v>450</v>
      </c>
      <c r="G6" s="8" t="inlineStr">
        <is>
          <t>затраты площади на 1 тыс. р. товарооборота</t>
        </is>
      </c>
    </row>
    <row r="7">
      <c r="A7" s="5" t="inlineStr">
        <is>
          <t>Рабочее время, чел.-ч</t>
        </is>
      </c>
      <c r="B7" s="6" t="n">
        <v>3</v>
      </c>
      <c r="C7" s="6" t="n">
        <v>2</v>
      </c>
      <c r="D7" s="6" t="n">
        <v>1.5</v>
      </c>
      <c r="E7" s="7" t="inlineStr">
        <is>
          <t>≤</t>
        </is>
      </c>
      <c r="F7" s="6" t="n">
        <v>600</v>
      </c>
      <c r="G7" s="8" t="inlineStr">
        <is>
          <t>затраты времени на 1 тыс. р. товарооборота</t>
        </is>
      </c>
    </row>
    <row r="8">
      <c r="A8" s="5" t="inlineStr">
        <is>
          <t>Товарооборот, тыс. р.</t>
        </is>
      </c>
      <c r="B8" s="6" t="n">
        <v>1</v>
      </c>
      <c r="C8" s="6" t="n">
        <v>1</v>
      </c>
      <c r="D8" s="6" t="n">
        <v>1</v>
      </c>
      <c r="E8" s="7" t="inlineStr">
        <is>
          <t>≥</t>
        </is>
      </c>
      <c r="F8" s="6" t="n">
        <v>240</v>
      </c>
      <c r="G8" s="8" t="inlineStr">
        <is>
          <t>каждая единица плана — это 1 тыс. р. товарооборота</t>
        </is>
      </c>
    </row>
    <row r="9">
      <c r="A9" s="5" t="inlineStr">
        <is>
          <t>Прибыль, ден. ед.</t>
        </is>
      </c>
      <c r="B9" s="6" t="n">
        <v>50</v>
      </c>
      <c r="C9" s="6" t="n">
        <v>65</v>
      </c>
      <c r="D9" s="6" t="n">
        <v>70</v>
      </c>
      <c r="E9" s="7" t="inlineStr">
        <is>
          <t>→ max</t>
        </is>
      </c>
      <c r="F9" s="7" t="n"/>
      <c r="G9" s="8" t="inlineStr">
        <is>
          <t>прибыль с 1 тыс. р. товарооборота</t>
        </is>
      </c>
    </row>
    <row r="10" ht="30" customHeight="1">
      <c r="A10" s="2" t="inlineStr">
        <is>
          <t>Допущение: в задаче затраты и прибыль заданы на 1 тыс. р. товарооборота (так в первоисточнике задачи), поэтому переменная xj — это товарооборот товара Пj в тыс. р., а весь товарооборот = x1 + x2 + x3.</t>
        </is>
      </c>
    </row>
    <row r="11">
      <c r="A11" s="2" t="inlineStr">
        <is>
          <t>Серые ячейки с числами — исходные данные. Все остальные листы берут числа отсюда формулами.</t>
        </is>
      </c>
    </row>
    <row r="13">
      <c r="A13" s="9" t="inlineStr">
        <is>
          <t>1. Математическая модель прямой задачи</t>
        </is>
      </c>
    </row>
    <row r="14">
      <c r="A14" s="10" t="inlineStr">
        <is>
          <t>Переменные</t>
        </is>
      </c>
      <c r="B14" s="8" t="inlineStr">
        <is>
          <t>x1, x2, x3 — сколько тыс. р. товарооборота запланировать по товарам П1, П2, П3.</t>
        </is>
      </c>
      <c r="C14" s="11" t="n"/>
      <c r="D14" s="11" t="n"/>
      <c r="E14" s="11" t="n"/>
      <c r="F14" s="11" t="n"/>
      <c r="G14" s="11" t="n"/>
    </row>
    <row r="15">
      <c r="A15" s="10" t="inlineStr">
        <is>
          <t>Целевая функция</t>
        </is>
      </c>
      <c r="B15" s="8" t="inlineStr">
        <is>
          <t>Z = 50·x1 + 65·x2 + 70·x3 → max   (суммарная прибыль)</t>
        </is>
      </c>
      <c r="C15" s="11" t="n"/>
      <c r="D15" s="11" t="n"/>
      <c r="E15" s="11" t="n"/>
      <c r="F15" s="11" t="n"/>
      <c r="G15" s="11" t="n"/>
    </row>
    <row r="16">
      <c r="A16" s="10" t="inlineStr">
        <is>
          <t>Ограничение 1</t>
        </is>
      </c>
      <c r="B16" s="8" t="inlineStr">
        <is>
          <t>1,5·x1 + 2·x2 + 3·x3 ≤ 450   (площади нужно не больше, чем есть)</t>
        </is>
      </c>
      <c r="C16" s="11" t="n"/>
      <c r="D16" s="11" t="n"/>
      <c r="E16" s="11" t="n"/>
      <c r="F16" s="11" t="n"/>
      <c r="G16" s="11" t="n"/>
    </row>
    <row r="17">
      <c r="A17" s="10" t="inlineStr">
        <is>
          <t>Ограничение 2</t>
        </is>
      </c>
      <c r="B17" s="8" t="inlineStr">
        <is>
          <t>3·x1 + 2·x2 + 1,5·x3 ≤ 600   (рабочего времени нужно не больше, чем есть)</t>
        </is>
      </c>
      <c r="C17" s="11" t="n"/>
      <c r="D17" s="11" t="n"/>
      <c r="E17" s="11" t="n"/>
      <c r="F17" s="11" t="n"/>
      <c r="G17" s="11" t="n"/>
    </row>
    <row r="18">
      <c r="A18" s="10" t="inlineStr">
        <is>
          <t>Ограничение 3</t>
        </is>
      </c>
      <c r="B18" s="8" t="inlineStr">
        <is>
          <t>x1 + x2 + x3 ≥ 240   (товарооборот не меньше 240 тыс. р.)</t>
        </is>
      </c>
      <c r="C18" s="11" t="n"/>
      <c r="D18" s="11" t="n"/>
      <c r="E18" s="11" t="n"/>
      <c r="F18" s="11" t="n"/>
      <c r="G18" s="11" t="n"/>
    </row>
    <row r="19">
      <c r="A19" s="10" t="inlineStr">
        <is>
          <t>Неотрицательность</t>
        </is>
      </c>
      <c r="B19" s="8" t="inlineStr">
        <is>
          <t>x1 ≥ 0, x2 ≥ 0, x3 ≥ 0   (продать «минус» товар нельзя)</t>
        </is>
      </c>
      <c r="C19" s="11" t="n"/>
      <c r="D19" s="11" t="n"/>
      <c r="E19" s="11" t="n"/>
      <c r="F19" s="11" t="n"/>
      <c r="G19" s="11" t="n"/>
    </row>
    <row r="21">
      <c r="A21" s="9" t="inlineStr">
        <is>
          <t>2. Математическая модель двойственной задачи</t>
        </is>
      </c>
    </row>
    <row r="22" ht="30" customHeight="1">
      <c r="A22" s="3" t="inlineStr">
        <is>
          <t>Для задачи на max все ограничения приводят к виду «≤». Третье умножаем на −1: −x1 − x2 − x3 ≤ −240. Каждому ограничению прямой задачи соответствует своя двойственная переменная (оценка ресурса).</t>
        </is>
      </c>
    </row>
    <row r="23">
      <c r="A23" s="10" t="inlineStr">
        <is>
          <t>Переменные</t>
        </is>
      </c>
      <c r="B23" s="8" t="inlineStr">
        <is>
          <t>y1 — оценка 1 м² площади, y2 — оценка 1 чел.-ч, y3 — оценка требования по товарообороту (ден. ед.).</t>
        </is>
      </c>
      <c r="C23" s="11" t="n"/>
      <c r="D23" s="11" t="n"/>
      <c r="E23" s="11" t="n"/>
      <c r="F23" s="11" t="n"/>
      <c r="G23" s="11" t="n"/>
    </row>
    <row r="24">
      <c r="A24" s="10" t="inlineStr">
        <is>
          <t>Целевая функция</t>
        </is>
      </c>
      <c r="B24" s="8" t="inlineStr">
        <is>
          <t>f = 450·y1 + 600·y2 − 240·y3 → min   (суммарная оценка всех ресурсов)</t>
        </is>
      </c>
      <c r="C24" s="11" t="n"/>
      <c r="D24" s="11" t="n"/>
      <c r="E24" s="11" t="n"/>
      <c r="F24" s="11" t="n"/>
      <c r="G24" s="11" t="n"/>
    </row>
    <row r="25">
      <c r="A25" s="10" t="inlineStr">
        <is>
          <t>Ограничение П1</t>
        </is>
      </c>
      <c r="B25" s="8" t="inlineStr">
        <is>
          <t>1,5·y1 + 3·y2 − y3 ≥ 50</t>
        </is>
      </c>
      <c r="C25" s="11" t="n"/>
      <c r="D25" s="11" t="n"/>
      <c r="E25" s="11" t="n"/>
      <c r="F25" s="11" t="n"/>
      <c r="G25" s="11" t="n"/>
    </row>
    <row r="26">
      <c r="A26" s="10" t="inlineStr">
        <is>
          <t>Ограничение П2</t>
        </is>
      </c>
      <c r="B26" s="8" t="inlineStr">
        <is>
          <t>2·y1 + 2·y2 − y3 ≥ 65</t>
        </is>
      </c>
      <c r="C26" s="11" t="n"/>
      <c r="D26" s="11" t="n"/>
      <c r="E26" s="11" t="n"/>
      <c r="F26" s="11" t="n"/>
      <c r="G26" s="11" t="n"/>
    </row>
    <row r="27">
      <c r="A27" s="10" t="inlineStr">
        <is>
          <t>Ограничение П3</t>
        </is>
      </c>
      <c r="B27" s="8" t="inlineStr">
        <is>
          <t>3·y1 + 1,5·y2 − y3 ≥ 70</t>
        </is>
      </c>
      <c r="C27" s="11" t="n"/>
      <c r="D27" s="11" t="n"/>
      <c r="E27" s="11" t="n"/>
      <c r="F27" s="11" t="n"/>
      <c r="G27" s="11" t="n"/>
    </row>
    <row r="28">
      <c r="A28" s="10" t="inlineStr">
        <is>
          <t>Смысл ограничений</t>
        </is>
      </c>
      <c r="B28" s="8" t="inlineStr">
        <is>
          <t>ресурсы, потраченные на 1 тыс. р. товара, «стоят» не меньше прибыли от него</t>
        </is>
      </c>
      <c r="C28" s="11" t="n"/>
      <c r="D28" s="11" t="n"/>
      <c r="E28" s="11" t="n"/>
      <c r="F28" s="11" t="n"/>
      <c r="G28" s="11" t="n"/>
    </row>
    <row r="29">
      <c r="A29" s="10" t="inlineStr">
        <is>
          <t>Неотрицательность</t>
        </is>
      </c>
      <c r="B29" s="8" t="inlineStr">
        <is>
          <t>y1 ≥ 0, y2 ≥ 0, y3 ≥ 0</t>
        </is>
      </c>
      <c r="C29" s="11" t="n"/>
      <c r="D29" s="11" t="n"/>
      <c r="E29" s="11" t="n"/>
      <c r="F29" s="11" t="n"/>
      <c r="G29" s="11" t="n"/>
    </row>
    <row r="31">
      <c r="A31" s="9" t="inlineStr">
        <is>
          <t>Что на каких листах</t>
        </is>
      </c>
    </row>
    <row r="32">
      <c r="A32" s="10" t="inlineStr">
        <is>
          <t>Прямая задача</t>
        </is>
      </c>
      <c r="B32" s="8" t="inlineStr">
        <is>
          <t>решение прямой задачи надстройкой «Поиск решения» + инструкция</t>
        </is>
      </c>
      <c r="C32" s="11" t="n"/>
      <c r="D32" s="11" t="n"/>
      <c r="E32" s="11" t="n"/>
      <c r="F32" s="11" t="n"/>
      <c r="G32" s="11" t="n"/>
    </row>
    <row r="33">
      <c r="A33" s="10" t="inlineStr">
        <is>
          <t>Симплекс-метод</t>
        </is>
      </c>
      <c r="B33" s="8" t="inlineStr">
        <is>
          <t>ручной симплекс-метод: 4 таблицы, всё считается формулами</t>
        </is>
      </c>
      <c r="C33" s="11" t="n"/>
      <c r="D33" s="11" t="n"/>
      <c r="E33" s="11" t="n"/>
      <c r="F33" s="11" t="n"/>
      <c r="G33" s="11" t="n"/>
    </row>
    <row r="34">
      <c r="A34" s="10" t="inlineStr">
        <is>
          <t>Двойственная задача</t>
        </is>
      </c>
      <c r="B34" s="8" t="inlineStr">
        <is>
          <t>решение двойственной задачи надстройкой «Поиск решения»</t>
        </is>
      </c>
      <c r="C34" s="11" t="n"/>
      <c r="D34" s="11" t="n"/>
      <c r="E34" s="11" t="n"/>
      <c r="F34" s="11" t="n"/>
      <c r="G34" s="11" t="n"/>
    </row>
    <row r="35">
      <c r="A35" s="10" t="inlineStr">
        <is>
          <t>Отчёты</t>
        </is>
      </c>
      <c r="B35" s="8" t="inlineStr">
        <is>
          <t>отчёты по результатам, устойчивости и пределам (прямая и двойственная)</t>
        </is>
      </c>
      <c r="C35" s="11" t="n"/>
      <c r="D35" s="11" t="n"/>
      <c r="E35" s="11" t="n"/>
      <c r="F35" s="11" t="n"/>
      <c r="G35" s="11" t="n"/>
    </row>
    <row r="36">
      <c r="A36" s="10" t="inlineStr">
        <is>
          <t>Анализ</t>
        </is>
      </c>
      <c r="B36" s="8" t="inlineStr">
        <is>
          <t>ответы на пункты 4 а–д и 6, таблица взаимозаменяемости ресурсов</t>
        </is>
      </c>
      <c r="C36" s="11" t="n"/>
      <c r="D36" s="11" t="n"/>
      <c r="E36" s="11" t="n"/>
      <c r="F36" s="11" t="n"/>
      <c r="G36" s="11" t="n"/>
    </row>
  </sheetData>
  <mergeCells count="27">
    <mergeCell ref="B14:G14"/>
    <mergeCell ref="A22:G22"/>
    <mergeCell ref="B17:G17"/>
    <mergeCell ref="B23:G23"/>
    <mergeCell ref="B29:G29"/>
    <mergeCell ref="A10:G10"/>
    <mergeCell ref="A13:G13"/>
    <mergeCell ref="B19:G19"/>
    <mergeCell ref="B34:G34"/>
    <mergeCell ref="B28:G28"/>
    <mergeCell ref="A31:G31"/>
    <mergeCell ref="A11:G11"/>
    <mergeCell ref="B15:G15"/>
    <mergeCell ref="B33:G33"/>
    <mergeCell ref="B24:G24"/>
    <mergeCell ref="A1:G1"/>
    <mergeCell ref="B36:G36"/>
    <mergeCell ref="B32:G32"/>
    <mergeCell ref="B35:G35"/>
    <mergeCell ref="B26:G26"/>
    <mergeCell ref="B25:G25"/>
    <mergeCell ref="B16:G16"/>
    <mergeCell ref="A3:G3"/>
    <mergeCell ref="A21:G21"/>
    <mergeCell ref="B27:G27"/>
    <mergeCell ref="A2:G2"/>
    <mergeCell ref="B18:G18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4" customWidth="1" min="5" max="5"/>
    <col width="8" customWidth="1" min="6" max="6"/>
    <col width="12" customWidth="1" min="7" max="7"/>
    <col width="11" customWidth="1" min="8" max="8"/>
    <col width="34" customWidth="1" min="9" max="9"/>
  </cols>
  <sheetData>
    <row r="1">
      <c r="A1" s="1" t="inlineStr">
        <is>
          <t>Прямая задача: решение с помощью «Поиск решения»</t>
        </is>
      </c>
    </row>
    <row r="2">
      <c r="A2" s="2" t="inlineStr">
        <is>
          <t>Серые ячейки B5:D5 — переменные, их меняет «Поиск решения». F6 — целевая функция (прибыль).</t>
        </is>
      </c>
    </row>
    <row r="4">
      <c r="A4" s="4" t="inlineStr">
        <is>
          <t>Переменная</t>
        </is>
      </c>
      <c r="B4" s="4" t="inlineStr">
        <is>
          <t>x1 (П1)</t>
        </is>
      </c>
      <c r="C4" s="4" t="inlineStr">
        <is>
          <t>x2 (П2)</t>
        </is>
      </c>
      <c r="D4" s="4" t="inlineStr">
        <is>
          <t>x3 (П3)</t>
        </is>
      </c>
    </row>
    <row r="5">
      <c r="A5" s="10" t="inlineStr">
        <is>
          <t>План, тыс. р. товарооборота</t>
        </is>
      </c>
      <c r="B5" s="12" t="n">
        <v>100</v>
      </c>
      <c r="C5" s="12" t="n">
        <v>150</v>
      </c>
      <c r="D5" s="12" t="n">
        <v>0</v>
      </c>
    </row>
    <row r="6">
      <c r="A6" s="10" t="inlineStr">
        <is>
          <t>Прибыль с 1 тыс. р.</t>
        </is>
      </c>
      <c r="B6" s="13">
        <f>Условие!B9</f>
        <v>50</v>
      </c>
      <c r="C6" s="13">
        <f>Условие!C9</f>
        <v>65</v>
      </c>
      <c r="D6" s="13">
        <f>Условие!D9</f>
        <v>70</v>
      </c>
      <c r="E6" s="14" t="inlineStr">
        <is>
          <t>Z =</t>
        </is>
      </c>
      <c r="F6" s="15">
        <f>SUMPRODUCT($B$5:$D$5,B6:D6)</f>
        <v>14750</v>
      </c>
      <c r="G6" s="16" t="n"/>
      <c r="H6" s="14" t="inlineStr">
        <is>
          <t>→ max</t>
        </is>
      </c>
    </row>
    <row r="8">
      <c r="A8" s="4" t="inlineStr">
        <is>
          <t>Ограничение</t>
        </is>
      </c>
      <c r="B8" s="4" t="inlineStr">
        <is>
          <t>x1</t>
        </is>
      </c>
      <c r="C8" s="4" t="inlineStr">
        <is>
          <t>x2</t>
        </is>
      </c>
      <c r="D8" s="4" t="inlineStr">
        <is>
          <t>x3</t>
        </is>
      </c>
      <c r="E8" s="4" t="inlineStr">
        <is>
          <t>Левая часть</t>
        </is>
      </c>
      <c r="F8" s="4" t="inlineStr">
        <is>
          <t>Знак</t>
        </is>
      </c>
      <c r="G8" s="4" t="inlineStr">
        <is>
          <t>Правая часть</t>
        </is>
      </c>
      <c r="H8" s="4" t="inlineStr">
        <is>
          <t>Остаток</t>
        </is>
      </c>
      <c r="I8" s="4" t="inlineStr">
        <is>
          <t>Вывод</t>
        </is>
      </c>
    </row>
    <row r="9">
      <c r="A9" s="5" t="inlineStr">
        <is>
          <t>Площадь, м²</t>
        </is>
      </c>
      <c r="B9" s="13">
        <f>Условие!B6</f>
        <v>1.5</v>
      </c>
      <c r="C9" s="13">
        <f>Условие!C6</f>
        <v>2</v>
      </c>
      <c r="D9" s="13">
        <f>Условие!D6</f>
        <v>3</v>
      </c>
      <c r="E9" s="15">
        <f>SUMPRODUCT($B$5:$D$5,B9:D9)</f>
        <v>450</v>
      </c>
      <c r="F9" s="7" t="inlineStr">
        <is>
          <t>&lt;=</t>
        </is>
      </c>
      <c r="G9" s="13">
        <f>Условие!F6</f>
        <v>450</v>
      </c>
      <c r="H9" s="13">
        <f>G9-E9</f>
        <v>0</v>
      </c>
      <c r="I9" s="8" t="str">
        <f>IF(ABS(H9)&lt;0.000001,"израсходован полностью — дефицитный","есть остаток — избыточный")</f>
        <v>израсходован полностью — дефицитный</v>
      </c>
    </row>
    <row r="10">
      <c r="A10" s="5" t="inlineStr">
        <is>
          <t>Рабочее время, чел.-ч</t>
        </is>
      </c>
      <c r="B10" s="13">
        <f>Условие!B7</f>
        <v>3</v>
      </c>
      <c r="C10" s="13">
        <f>Условие!C7</f>
        <v>2</v>
      </c>
      <c r="D10" s="13">
        <f>Условие!D7</f>
        <v>1.5</v>
      </c>
      <c r="E10" s="15">
        <f>SUMPRODUCT($B$5:$D$5,B10:D10)</f>
        <v>600</v>
      </c>
      <c r="F10" s="7" t="inlineStr">
        <is>
          <t>&lt;=</t>
        </is>
      </c>
      <c r="G10" s="13">
        <f>Условие!F7</f>
        <v>600</v>
      </c>
      <c r="H10" s="13">
        <f>G10-E10</f>
        <v>0</v>
      </c>
      <c r="I10" s="8" t="str">
        <f>IF(ABS(H10)&lt;0.000001,"израсходован полностью — дефицитный","есть остаток — избыточный")</f>
        <v>израсходован полностью — дефицитный</v>
      </c>
    </row>
    <row r="11">
      <c r="A11" s="5" t="inlineStr">
        <is>
          <t>Товарооборот, тыс. р.</t>
        </is>
      </c>
      <c r="B11" s="13">
        <f>Условие!B8</f>
        <v>1</v>
      </c>
      <c r="C11" s="13">
        <f>Условие!C8</f>
        <v>1</v>
      </c>
      <c r="D11" s="13">
        <f>Условие!D8</f>
        <v>1</v>
      </c>
      <c r="E11" s="15">
        <f>SUMPRODUCT($B$5:$D$5,B11:D11)</f>
        <v>250</v>
      </c>
      <c r="F11" s="7" t="inlineStr">
        <is>
          <t>&gt;=</t>
        </is>
      </c>
      <c r="G11" s="13">
        <f>Условие!F8</f>
        <v>240</v>
      </c>
      <c r="H11" s="13">
        <f>E11-G11</f>
        <v>10</v>
      </c>
      <c r="I11" s="8" t="str">
        <f>IF(H11&gt;=0,"выполнено, запас "&amp;ROUND(H11,2)&amp;" тыс. р.","НЕ выполнено")</f>
        <v>выполнено, запас 10 тыс. р.</v>
      </c>
    </row>
    <row r="13">
      <c r="A13" s="17" t="inlineStr">
        <is>
          <t>Итог</t>
        </is>
      </c>
      <c r="B13" s="10" t="str">
        <f>"Продавать П1 на "&amp;ROUND(B5,2)&amp;" тыс. р., П2 на "&amp;ROUND(C5,2)&amp;" тыс. р., П3 на "&amp;ROUND(D5,2)&amp;" тыс. р. Максимальная прибыль Z = "&amp;ROUND(F6,2)&amp;" ден. ед."</f>
        <v>Продавать П1 на 100 тыс. р., П2 на 150 тыс. р., П3 на 0 тыс. р. Максимальная прибыль Z = 14750 ден. ед.</v>
      </c>
      <c r="C13" s="11" t="n"/>
      <c r="D13" s="11" t="n"/>
      <c r="E13" s="11" t="n"/>
      <c r="F13" s="11" t="n"/>
      <c r="G13" s="11" t="n"/>
      <c r="H13" s="11" t="n"/>
      <c r="I13" s="11" t="n"/>
    </row>
    <row r="15">
      <c r="A15" s="9" t="inlineStr">
        <is>
          <t>Как решить самому (Поиск решения / Solver)</t>
        </is>
      </c>
    </row>
    <row r="16" ht="28" customHeight="1">
      <c r="A16" s="3" t="inlineStr">
        <is>
          <t>0. Если на вкладке «Данные» нет кнопки «Поиск решения»: Файл → Параметры → Надстройки → внизу «Управление: Надстройки Excel» → Перейти → поставить галочку «Поиск решения» → ОК.</t>
        </is>
      </c>
    </row>
    <row r="17">
      <c r="A17" s="3" t="inlineStr">
        <is>
          <t>1. (по желанию) Сотрите числа в B5:D5 (поставьте 0), чтобы увидеть, что Excel найдёт их сам.</t>
        </is>
      </c>
    </row>
    <row r="18">
      <c r="A18" s="3" t="inlineStr">
        <is>
          <t>2. Данные → Поиск решения. Модель на этом листе уже сохранена, поля должны заполниться сами. Проверьте:</t>
        </is>
      </c>
    </row>
    <row r="19">
      <c r="A19" s="3" t="inlineStr">
        <is>
          <t xml:space="preserve">     • Оптимизировать целевую функцию: $F$6;   До: Максимум;   Изменяя ячейки переменных: $B$5:$D$5</t>
        </is>
      </c>
    </row>
    <row r="20">
      <c r="A20" s="3" t="inlineStr">
        <is>
          <t xml:space="preserve">     • Ограничения: $E$9:$E$10 &lt;= $G$9:$G$10   и   $E$11 &gt;= $G$11</t>
        </is>
      </c>
    </row>
    <row r="21">
      <c r="A21" s="3" t="inlineStr">
        <is>
          <t xml:space="preserve">     • Галочка «Сделать переменные без ограничений неотрицательными» — включена</t>
        </is>
      </c>
    </row>
    <row r="22">
      <c r="A22" s="3" t="inlineStr">
        <is>
          <t xml:space="preserve">     • Метод решения: «Поиск решения лин. задач симплекс-методом»</t>
        </is>
      </c>
    </row>
    <row r="23">
      <c r="A23" s="3" t="inlineStr">
        <is>
          <t xml:space="preserve">   Если поля пустые — введите всё это вручную (ограничения добавляются кнопкой «Добавить»).</t>
        </is>
      </c>
    </row>
    <row r="24" ht="28" customHeight="1">
      <c r="A24" s="3" t="inlineStr">
        <is>
          <t>3. Нажмите «Найти решение». В окне «Результаты поиска решения» выберите «Сохранить найденное решение» и справа выделите все три отчёта: «Результаты», «Устойчивость», «Пределы» → ОК.</t>
        </is>
      </c>
    </row>
    <row r="25">
      <c r="A25" s="3" t="inlineStr">
        <is>
          <t>4. Excel создаст три новых листа с отчётами. Их числа должны совпасть с листом «Отчёты» этой книги.</t>
        </is>
      </c>
    </row>
  </sheetData>
  <mergeCells count="15">
    <mergeCell ref="A15:I15"/>
    <mergeCell ref="B13:I13"/>
    <mergeCell ref="A25:I25"/>
    <mergeCell ref="A2:I2"/>
    <mergeCell ref="A19:I19"/>
    <mergeCell ref="A1:I1"/>
    <mergeCell ref="A17:I17"/>
    <mergeCell ref="A18:I18"/>
    <mergeCell ref="F6:G6"/>
    <mergeCell ref="A23:I23"/>
    <mergeCell ref="A24:I24"/>
    <mergeCell ref="A22:I22"/>
    <mergeCell ref="A20:I20"/>
    <mergeCell ref="A21:I21"/>
    <mergeCell ref="A16:I1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2" customWidth="1" min="11" max="11"/>
    <col width="62" customWidth="1" min="12" max="12"/>
  </cols>
  <sheetData>
    <row r="1">
      <c r="A1" s="1" t="inlineStr">
        <is>
          <t>Симплекс-метод (ручной расчёт, все числа — формулы)</t>
        </is>
      </c>
    </row>
    <row r="2" ht="70" customHeight="1">
      <c r="A2" s="3" t="inlineStr">
        <is>
          <t>Идея. Симплекс-метод ходит по «углам» области допустимых планов и на каждом шаге увеличивает прибыль. Чтобы начать, неравенства «≤» превращают в равенства, добавив остатки x4 (неиспользованная площадь) и x5 (неиспользованное время): 1,5x1 + 2x2 + 3x3 + x4 = 450;  3x1 + 2x2 + 1,5x3 + x5 = 600. Начальный план: ничего не продаём (x1=x2=x3=0), тогда x4=450, x5=600 — это базис. Условие товарооборота (≥ 240) проверим в конце: если найденный по первым двум ограничениям оптимум ему удовлетворяет, то он оптимален и для всей задачи (лишнее ограничение не может сделать прибыль больше).</t>
        </is>
      </c>
    </row>
    <row r="3" ht="42" customHeight="1">
      <c r="A3" s="2" t="inlineStr">
        <is>
          <t>Обозначения: Cб — прибыль базисной переменной; b — значения базисных переменных (план); Δj = Σ(Cб·aij) − cj — оценки (если есть отрицательная — план можно улучшить). Темно-серая ячейка — разрешающий элемент, светло-серые — разрешающие строка и столбец.</t>
        </is>
      </c>
    </row>
    <row r="5" ht="22" customHeight="1">
      <c r="A5" s="4" t="inlineStr">
        <is>
          <t>Итер.</t>
        </is>
      </c>
      <c r="B5" s="4" t="inlineStr">
        <is>
          <t>Базис</t>
        </is>
      </c>
      <c r="C5" s="4" t="inlineStr">
        <is>
          <t>Cб</t>
        </is>
      </c>
      <c r="D5" s="4" t="inlineStr">
        <is>
          <t>b</t>
        </is>
      </c>
      <c r="E5" s="4" t="inlineStr">
        <is>
          <t>x1</t>
        </is>
      </c>
      <c r="F5" s="4" t="inlineStr">
        <is>
          <t>x2</t>
        </is>
      </c>
      <c r="G5" s="4" t="inlineStr">
        <is>
          <t>x3</t>
        </is>
      </c>
      <c r="H5" s="4" t="inlineStr">
        <is>
          <t>x4</t>
        </is>
      </c>
      <c r="I5" s="4" t="inlineStr">
        <is>
          <t>x5</t>
        </is>
      </c>
      <c r="J5" s="4" t="inlineStr">
        <is>
          <t>b / a</t>
        </is>
      </c>
      <c r="L5" s="3" t="inlineStr">
        <is>
          <t>Итерация 0. Базис x4, x5, план (0; 0; 0), прибыль 0.
Есть отрицательные оценки Δ → план не оптимален. Самая отрицательная Δ3 = −70 (товар П3 даёт больше всего прибыли с 1 тыс. р.), поэтому x3 вводим в базис — это разрешающий столбец.
Симплексные отношения b / a: 450/3 = 150 и 600/1,5 = 400. Берём минимальное (150) — строка x4 разрешающая (раньше всего кончится площадь). Разрешающий элемент = 3.</t>
        </is>
      </c>
    </row>
    <row r="6" ht="22" customHeight="1">
      <c r="A6" s="7" t="n"/>
      <c r="B6" s="7" t="n"/>
      <c r="C6" s="7" t="n"/>
      <c r="D6" s="14" t="inlineStr">
        <is>
          <t>cj →</t>
        </is>
      </c>
      <c r="E6" s="15">
        <f>Условие!B9</f>
        <v>50</v>
      </c>
      <c r="F6" s="15">
        <f>Условие!C9</f>
        <v>65</v>
      </c>
      <c r="G6" s="15">
        <f>Условие!D9</f>
        <v>70</v>
      </c>
      <c r="H6" s="15" t="n">
        <v>0</v>
      </c>
      <c r="I6" s="15" t="n">
        <v>0</v>
      </c>
      <c r="J6" s="7" t="n"/>
    </row>
    <row r="7" ht="22" customHeight="1">
      <c r="A7" s="18" t="n">
        <v>0</v>
      </c>
      <c r="B7" s="14" t="inlineStr">
        <is>
          <t>x4</t>
        </is>
      </c>
      <c r="C7" s="13">
        <f>H$6</f>
        <v>0</v>
      </c>
      <c r="D7" s="19">
        <f>Условие!F6</f>
        <v>450</v>
      </c>
      <c r="E7" s="19">
        <f>Условие!B6</f>
        <v>1.5</v>
      </c>
      <c r="F7" s="19">
        <f>Условие!C6</f>
        <v>2</v>
      </c>
      <c r="G7" s="20">
        <f>Условие!D6</f>
        <v>3</v>
      </c>
      <c r="H7" s="19" t="n">
        <v>1</v>
      </c>
      <c r="I7" s="19" t="n">
        <v>0</v>
      </c>
      <c r="J7" s="19">
        <f>IF(G7&gt;0,D7/G7,"—")</f>
        <v>150</v>
      </c>
    </row>
    <row r="8" ht="22" customHeight="1">
      <c r="A8" s="18" t="n"/>
      <c r="B8" s="14" t="inlineStr">
        <is>
          <t>x5</t>
        </is>
      </c>
      <c r="C8" s="13">
        <f>I$6</f>
        <v>0</v>
      </c>
      <c r="D8" s="13">
        <f>Условие!F7</f>
        <v>600</v>
      </c>
      <c r="E8" s="13">
        <f>Условие!B7</f>
        <v>3</v>
      </c>
      <c r="F8" s="13">
        <f>Условие!C7</f>
        <v>2</v>
      </c>
      <c r="G8" s="19">
        <f>Условие!D7</f>
        <v>1.5</v>
      </c>
      <c r="H8" s="13" t="n">
        <v>0</v>
      </c>
      <c r="I8" s="13" t="n">
        <v>1</v>
      </c>
      <c r="J8" s="13">
        <f>IF(G8&gt;0,D8/G8,"—")</f>
        <v>400</v>
      </c>
    </row>
    <row r="9" ht="22" customHeight="1">
      <c r="A9" s="7" t="n"/>
      <c r="B9" s="14" t="inlineStr">
        <is>
          <t>Δ</t>
        </is>
      </c>
      <c r="C9" s="21" t="n"/>
      <c r="D9" s="15">
        <f>SUMPRODUCT($C7:$C8,D7:D8)</f>
        <v>0</v>
      </c>
      <c r="E9" s="15">
        <f>SUMPRODUCT($C7:$C8,E7:E8)-E6</f>
        <v>-50</v>
      </c>
      <c r="F9" s="15">
        <f>SUMPRODUCT($C7:$C8,F7:F8)-F6</f>
        <v>-65</v>
      </c>
      <c r="G9" s="15">
        <f>SUMPRODUCT($C7:$C8,G7:G8)-G6</f>
        <v>-70</v>
      </c>
      <c r="H9" s="15">
        <f>SUMPRODUCT($C7:$C8,H7:H8)-H6</f>
        <v>0</v>
      </c>
      <c r="I9" s="15">
        <f>SUMPRODUCT($C7:$C8,I7:I8)-I6</f>
        <v>0</v>
      </c>
      <c r="J9" s="21" t="n"/>
    </row>
    <row r="12" ht="22" customHeight="1">
      <c r="A12" s="4" t="inlineStr">
        <is>
          <t>Итер.</t>
        </is>
      </c>
      <c r="B12" s="4" t="inlineStr">
        <is>
          <t>Базис</t>
        </is>
      </c>
      <c r="C12" s="4" t="inlineStr">
        <is>
          <t>Cб</t>
        </is>
      </c>
      <c r="D12" s="4" t="inlineStr">
        <is>
          <t>b</t>
        </is>
      </c>
      <c r="E12" s="4" t="inlineStr">
        <is>
          <t>x1</t>
        </is>
      </c>
      <c r="F12" s="4" t="inlineStr">
        <is>
          <t>x2</t>
        </is>
      </c>
      <c r="G12" s="4" t="inlineStr">
        <is>
          <t>x3</t>
        </is>
      </c>
      <c r="H12" s="4" t="inlineStr">
        <is>
          <t>x4</t>
        </is>
      </c>
      <c r="I12" s="4" t="inlineStr">
        <is>
          <t>x5</t>
        </is>
      </c>
      <c r="J12" s="4" t="inlineStr">
        <is>
          <t>b / a</t>
        </is>
      </c>
      <c r="L12" s="3" t="inlineStr">
        <is>
          <t>Итерация 1. x3 вошёл в базис вместо x4.
Как пересчитали: строку x3 = старая строка x4 / 3; остальные строки — по правилу прямоугольника: новое = старое − (элемент в разреш. столбце) × (новая разреш. строка).
Прибыль уже 10 500. Отрицательные Δ ещё есть: Δ1 = −15, Δ2 = −18,33. Самая отрицательная — Δ2, вводим x2.
Отношения: 150/(2/3) = 225 и 375/1 = 375 → минимум 225, выводим x3.</t>
        </is>
      </c>
    </row>
    <row r="13" ht="22" customHeight="1">
      <c r="A13" s="7" t="n"/>
      <c r="B13" s="7" t="n"/>
      <c r="C13" s="7" t="n"/>
      <c r="D13" s="14" t="inlineStr">
        <is>
          <t>cj →</t>
        </is>
      </c>
      <c r="E13" s="15">
        <f>E$6</f>
        <v>50</v>
      </c>
      <c r="F13" s="15">
        <f>F$6</f>
        <v>65</v>
      </c>
      <c r="G13" s="15">
        <f>G$6</f>
        <v>70</v>
      </c>
      <c r="H13" s="15">
        <f>H$6</f>
        <v>0</v>
      </c>
      <c r="I13" s="15">
        <f>I$6</f>
        <v>0</v>
      </c>
      <c r="J13" s="7" t="n"/>
    </row>
    <row r="14" ht="22" customHeight="1">
      <c r="A14" s="18" t="n">
        <v>1</v>
      </c>
      <c r="B14" s="14" t="inlineStr">
        <is>
          <t>x3</t>
        </is>
      </c>
      <c r="C14" s="13">
        <f>G$6</f>
        <v>70</v>
      </c>
      <c r="D14" s="19">
        <f>D7/$G$7</f>
        <v>150</v>
      </c>
      <c r="E14" s="19">
        <f>E7/$G$7</f>
        <v>0.5</v>
      </c>
      <c r="F14" s="20">
        <f>F7/$G$7</f>
        <v>0.666666666666667</v>
      </c>
      <c r="G14" s="19">
        <f>G7/$G$7</f>
        <v>1</v>
      </c>
      <c r="H14" s="19">
        <f>H7/$G$7</f>
        <v>0.333333333333333</v>
      </c>
      <c r="I14" s="19">
        <f>I7/$G$7</f>
        <v>0</v>
      </c>
      <c r="J14" s="19">
        <f>IF(F14&gt;0,D14/F14,"—")</f>
        <v>225</v>
      </c>
    </row>
    <row r="15" ht="22" customHeight="1">
      <c r="A15" s="18" t="n"/>
      <c r="B15" s="14" t="inlineStr">
        <is>
          <t>x5</t>
        </is>
      </c>
      <c r="C15" s="13">
        <f>I$6</f>
        <v>0</v>
      </c>
      <c r="D15" s="13">
        <f>D8-$G8*D14</f>
        <v>375</v>
      </c>
      <c r="E15" s="13">
        <f>E8-$G8*E14</f>
        <v>2.25</v>
      </c>
      <c r="F15" s="19">
        <f>F8-$G8*F14</f>
        <v>1</v>
      </c>
      <c r="G15" s="13">
        <f>G8-$G8*G14</f>
        <v>0</v>
      </c>
      <c r="H15" s="13">
        <f>H8-$G8*H14</f>
        <v>-0.5</v>
      </c>
      <c r="I15" s="13">
        <f>I8-$G8*I14</f>
        <v>1</v>
      </c>
      <c r="J15" s="13">
        <f>IF(F15&gt;0,D15/F15,"—")</f>
        <v>375</v>
      </c>
    </row>
    <row r="16" ht="22" customHeight="1">
      <c r="A16" s="7" t="n"/>
      <c r="B16" s="14" t="inlineStr">
        <is>
          <t>Δ</t>
        </is>
      </c>
      <c r="C16" s="21" t="n"/>
      <c r="D16" s="15">
        <f>SUMPRODUCT($C14:$C15,D14:D15)</f>
        <v>10500</v>
      </c>
      <c r="E16" s="15">
        <f>SUMPRODUCT($C14:$C15,E14:E15)-E13</f>
        <v>-15</v>
      </c>
      <c r="F16" s="15">
        <f>SUMPRODUCT($C14:$C15,F14:F15)-F13</f>
        <v>-18.3333333333333</v>
      </c>
      <c r="G16" s="15">
        <f>SUMPRODUCT($C14:$C15,G14:G15)-G13</f>
        <v>0</v>
      </c>
      <c r="H16" s="15">
        <f>SUMPRODUCT($C14:$C15,H14:H15)-H13</f>
        <v>23.3333333333333</v>
      </c>
      <c r="I16" s="15">
        <f>SUMPRODUCT($C14:$C15,I14:I15)-I13</f>
        <v>0</v>
      </c>
      <c r="J16" s="21" t="n"/>
    </row>
    <row r="19" ht="22" customHeight="1">
      <c r="A19" s="4" t="inlineStr">
        <is>
          <t>Итер.</t>
        </is>
      </c>
      <c r="B19" s="4" t="inlineStr">
        <is>
          <t>Базис</t>
        </is>
      </c>
      <c r="C19" s="4" t="inlineStr">
        <is>
          <t>Cб</t>
        </is>
      </c>
      <c r="D19" s="4" t="inlineStr">
        <is>
          <t>b</t>
        </is>
      </c>
      <c r="E19" s="4" t="inlineStr">
        <is>
          <t>x1</t>
        </is>
      </c>
      <c r="F19" s="4" t="inlineStr">
        <is>
          <t>x2</t>
        </is>
      </c>
      <c r="G19" s="4" t="inlineStr">
        <is>
          <t>x3</t>
        </is>
      </c>
      <c r="H19" s="4" t="inlineStr">
        <is>
          <t>x4</t>
        </is>
      </c>
      <c r="I19" s="4" t="inlineStr">
        <is>
          <t>x5</t>
        </is>
      </c>
      <c r="J19" s="4" t="inlineStr">
        <is>
          <t>b / a</t>
        </is>
      </c>
      <c r="L19" s="3" t="inlineStr">
        <is>
          <t>Итерация 2. x2 вошёл в базис вместо x3.
Прибыль 14 625. Осталась одна отрицательная оценка Δ1 = −1,25 → вводим x1.
Отношения: 225/0,75 = 300 и 150/1,5 = 100 → минимум 100, выводим x5 (раньше всего кончится рабочее время). Разрешающий элемент = 1,5.</t>
        </is>
      </c>
    </row>
    <row r="20" ht="22" customHeight="1">
      <c r="A20" s="7" t="n"/>
      <c r="B20" s="7" t="n"/>
      <c r="C20" s="7" t="n"/>
      <c r="D20" s="14" t="inlineStr">
        <is>
          <t>cj →</t>
        </is>
      </c>
      <c r="E20" s="15">
        <f>E$6</f>
        <v>50</v>
      </c>
      <c r="F20" s="15">
        <f>F$6</f>
        <v>65</v>
      </c>
      <c r="G20" s="15">
        <f>G$6</f>
        <v>70</v>
      </c>
      <c r="H20" s="15">
        <f>H$6</f>
        <v>0</v>
      </c>
      <c r="I20" s="15">
        <f>I$6</f>
        <v>0</v>
      </c>
      <c r="J20" s="7" t="n"/>
    </row>
    <row r="21" ht="22" customHeight="1">
      <c r="A21" s="18" t="n">
        <v>2</v>
      </c>
      <c r="B21" s="14" t="inlineStr">
        <is>
          <t>x2</t>
        </is>
      </c>
      <c r="C21" s="13">
        <f>F$6</f>
        <v>65</v>
      </c>
      <c r="D21" s="13">
        <f>D14/$F$14</f>
        <v>225</v>
      </c>
      <c r="E21" s="19">
        <f>E14/$F$14</f>
        <v>0.75</v>
      </c>
      <c r="F21" s="13">
        <f>F14/$F$14</f>
        <v>1</v>
      </c>
      <c r="G21" s="13">
        <f>G14/$F$14</f>
        <v>1.5</v>
      </c>
      <c r="H21" s="13">
        <f>H14/$F$14</f>
        <v>0.5</v>
      </c>
      <c r="I21" s="13">
        <f>I14/$F$14</f>
        <v>0</v>
      </c>
      <c r="J21" s="13">
        <f>IF(E21&gt;0,D21/E21,"—")</f>
        <v>300</v>
      </c>
    </row>
    <row r="22" ht="22" customHeight="1">
      <c r="A22" s="18" t="n"/>
      <c r="B22" s="14" t="inlineStr">
        <is>
          <t>x5</t>
        </is>
      </c>
      <c r="C22" s="13">
        <f>I$6</f>
        <v>0</v>
      </c>
      <c r="D22" s="19">
        <f>D15-$F15*D21</f>
        <v>150</v>
      </c>
      <c r="E22" s="20">
        <f>E15-$F15*E21</f>
        <v>1.5</v>
      </c>
      <c r="F22" s="19">
        <f>F15-$F15*F21</f>
        <v>0</v>
      </c>
      <c r="G22" s="19">
        <f>G15-$F15*G21</f>
        <v>-1.5</v>
      </c>
      <c r="H22" s="19">
        <f>H15-$F15*H21</f>
        <v>-1</v>
      </c>
      <c r="I22" s="19">
        <f>I15-$F15*I21</f>
        <v>1</v>
      </c>
      <c r="J22" s="19">
        <f>IF(E22&gt;0,D22/E22,"—")</f>
        <v>100</v>
      </c>
    </row>
    <row r="23" ht="22" customHeight="1">
      <c r="A23" s="7" t="n"/>
      <c r="B23" s="14" t="inlineStr">
        <is>
          <t>Δ</t>
        </is>
      </c>
      <c r="C23" s="21" t="n"/>
      <c r="D23" s="15">
        <f>SUMPRODUCT($C21:$C22,D21:D22)</f>
        <v>14625</v>
      </c>
      <c r="E23" s="15">
        <f>SUMPRODUCT($C21:$C22,E21:E22)-E20</f>
        <v>-1.25</v>
      </c>
      <c r="F23" s="15">
        <f>SUMPRODUCT($C21:$C22,F21:F22)-F20</f>
        <v>0</v>
      </c>
      <c r="G23" s="15">
        <f>SUMPRODUCT($C21:$C22,G21:G22)-G20</f>
        <v>27.5</v>
      </c>
      <c r="H23" s="15">
        <f>SUMPRODUCT($C21:$C22,H21:H22)-H20</f>
        <v>32.5</v>
      </c>
      <c r="I23" s="15">
        <f>SUMPRODUCT($C21:$C22,I21:I22)-I20</f>
        <v>0</v>
      </c>
      <c r="J23" s="21" t="n"/>
    </row>
    <row r="26" ht="24" customHeight="1">
      <c r="A26" s="4" t="inlineStr">
        <is>
          <t>Итер.</t>
        </is>
      </c>
      <c r="B26" s="4" t="inlineStr">
        <is>
          <t>Базис</t>
        </is>
      </c>
      <c r="C26" s="4" t="inlineStr">
        <is>
          <t>Cб</t>
        </is>
      </c>
      <c r="D26" s="4" t="inlineStr">
        <is>
          <t>b</t>
        </is>
      </c>
      <c r="E26" s="4" t="inlineStr">
        <is>
          <t>x1</t>
        </is>
      </c>
      <c r="F26" s="4" t="inlineStr">
        <is>
          <t>x2</t>
        </is>
      </c>
      <c r="G26" s="4" t="inlineStr">
        <is>
          <t>x3</t>
        </is>
      </c>
      <c r="H26" s="4" t="inlineStr">
        <is>
          <t>x4</t>
        </is>
      </c>
      <c r="I26" s="4" t="inlineStr">
        <is>
          <t>x5</t>
        </is>
      </c>
      <c r="J26" s="4" t="inlineStr">
        <is>
          <t>b / a</t>
        </is>
      </c>
      <c r="L26" s="3" t="inlineStr">
        <is>
          <t>Итерация 3. x1 вошёл в базис вместо x5.
Все оценки Δj ≥ 0 → улучшать нечего, план ОПТИМАЛЕН.
x1 = 100, x2 = 150, x3 = 0, x4 = 0, x5 = 0, Z max = 14 750.
x4 = x5 = 0 → площадь и время израсходованы полностью.
Оценки Δ последней строки — это решение двойственной задачи (см. строку соответствия под таблицей).</t>
        </is>
      </c>
    </row>
    <row r="27" ht="24" customHeight="1">
      <c r="A27" s="7" t="n"/>
      <c r="B27" s="7" t="n"/>
      <c r="C27" s="7" t="n"/>
      <c r="D27" s="14" t="inlineStr">
        <is>
          <t>cj →</t>
        </is>
      </c>
      <c r="E27" s="15">
        <f>E$6</f>
        <v>50</v>
      </c>
      <c r="F27" s="15">
        <f>F$6</f>
        <v>65</v>
      </c>
      <c r="G27" s="15">
        <f>G$6</f>
        <v>70</v>
      </c>
      <c r="H27" s="15">
        <f>H$6</f>
        <v>0</v>
      </c>
      <c r="I27" s="15">
        <f>I$6</f>
        <v>0</v>
      </c>
      <c r="J27" s="7" t="n"/>
    </row>
    <row r="28" ht="24" customHeight="1">
      <c r="A28" s="18" t="n">
        <v>3</v>
      </c>
      <c r="B28" s="14" t="inlineStr">
        <is>
          <t>x2</t>
        </is>
      </c>
      <c r="C28" s="13">
        <f>F$6</f>
        <v>65</v>
      </c>
      <c r="D28" s="13">
        <f>D21-$E21*D29</f>
        <v>150</v>
      </c>
      <c r="E28" s="13">
        <f>E21-$E21*E29</f>
        <v>0</v>
      </c>
      <c r="F28" s="13">
        <f>F21-$E21*F29</f>
        <v>1</v>
      </c>
      <c r="G28" s="13">
        <f>G21-$E21*G29</f>
        <v>2.25</v>
      </c>
      <c r="H28" s="13">
        <f>H21-$E21*H29</f>
        <v>1</v>
      </c>
      <c r="I28" s="13">
        <f>I21-$E21*I29</f>
        <v>-0.5</v>
      </c>
      <c r="J28" s="7" t="inlineStr">
        <is>
          <t>—</t>
        </is>
      </c>
    </row>
    <row r="29" ht="24" customHeight="1">
      <c r="A29" s="18" t="n"/>
      <c r="B29" s="14" t="inlineStr">
        <is>
          <t>x1</t>
        </is>
      </c>
      <c r="C29" s="13">
        <f>E$6</f>
        <v>50</v>
      </c>
      <c r="D29" s="13">
        <f>D22/$E$22</f>
        <v>100</v>
      </c>
      <c r="E29" s="13">
        <f>E22/$E$22</f>
        <v>1</v>
      </c>
      <c r="F29" s="13">
        <f>F22/$E$22</f>
        <v>0</v>
      </c>
      <c r="G29" s="13">
        <f>G22/$E$22</f>
        <v>-1</v>
      </c>
      <c r="H29" s="13">
        <f>H22/$E$22</f>
        <v>-0.666666666666667</v>
      </c>
      <c r="I29" s="13">
        <f>I22/$E$22</f>
        <v>0.666666666666667</v>
      </c>
      <c r="J29" s="7" t="inlineStr">
        <is>
          <t>—</t>
        </is>
      </c>
    </row>
    <row r="30" ht="24" customHeight="1">
      <c r="A30" s="7" t="n"/>
      <c r="B30" s="14" t="inlineStr">
        <is>
          <t>Δ</t>
        </is>
      </c>
      <c r="C30" s="21" t="n"/>
      <c r="D30" s="15">
        <f>SUMPRODUCT($C28:$C29,D28:D29)</f>
        <v>14750</v>
      </c>
      <c r="E30" s="15">
        <f>SUMPRODUCT($C28:$C29,E28:E29)-E27</f>
        <v>0</v>
      </c>
      <c r="F30" s="15">
        <f>SUMPRODUCT($C28:$C29,F28:F29)-F27</f>
        <v>0</v>
      </c>
      <c r="G30" s="15">
        <f>SUMPRODUCT($C28:$C29,G28:G29)-G27</f>
        <v>26.25</v>
      </c>
      <c r="H30" s="15">
        <f>SUMPRODUCT($C28:$C29,H28:H29)-H27</f>
        <v>31.6666666666667</v>
      </c>
      <c r="I30" s="15">
        <f>SUMPRODUCT($C28:$C29,I28:I29)-I27</f>
        <v>0.833333333333329</v>
      </c>
      <c r="J30" s="21" t="n"/>
    </row>
    <row r="31" ht="30" customHeight="1">
      <c r="B31" s="14" t="inlineStr">
        <is>
          <t>соответствует →</t>
        </is>
      </c>
      <c r="C31" s="11" t="n"/>
      <c r="D31" s="11" t="n"/>
      <c r="E31" s="14" t="inlineStr">
        <is>
          <t>y4</t>
        </is>
      </c>
      <c r="F31" s="14" t="inlineStr">
        <is>
          <t>y5</t>
        </is>
      </c>
      <c r="G31" s="14" t="inlineStr">
        <is>
          <t>y6</t>
        </is>
      </c>
      <c r="H31" s="14" t="inlineStr">
        <is>
          <t>y1</t>
        </is>
      </c>
      <c r="I31" s="14" t="inlineStr">
        <is>
          <t>y2</t>
        </is>
      </c>
      <c r="L31" s="3" t="inlineStr">
        <is>
          <t>Остатки x4, x5 прямой задачи ↔ основные переменные y1, y2 двойственной; товары x1..x3 ↔ дополнительные y4..y6.</t>
        </is>
      </c>
    </row>
    <row r="33">
      <c r="A33" s="9" t="inlineStr">
        <is>
          <t>Итог симплекс-метода</t>
        </is>
      </c>
    </row>
    <row r="34">
      <c r="A34" s="10" t="inlineStr">
        <is>
          <t>Все Δj ≥ 0?</t>
        </is>
      </c>
      <c r="B34" s="11" t="n"/>
      <c r="C34" s="11" t="n"/>
      <c r="D34" s="11" t="n"/>
      <c r="E34" s="22" t="str">
        <f>IF(MIN(E30:I30)&gt;=-0.000001,"да — план оптимален","нет — нужна ещё итерация")</f>
        <v>да — план оптимален</v>
      </c>
      <c r="F34" s="11" t="n"/>
      <c r="G34" s="11" t="n"/>
      <c r="H34" s="11" t="n"/>
      <c r="I34" s="11" t="n"/>
      <c r="J34" s="11" t="n"/>
    </row>
    <row r="35">
      <c r="A35" s="10" t="inlineStr">
        <is>
          <t>x1 (П1), тыс. р.</t>
        </is>
      </c>
      <c r="B35" s="11" t="n"/>
      <c r="C35" s="11" t="n"/>
      <c r="D35" s="11" t="n"/>
      <c r="E35" s="22">
        <f>D29</f>
        <v>100</v>
      </c>
      <c r="F35" s="11" t="n"/>
      <c r="G35" s="11" t="n"/>
      <c r="H35" s="11" t="n"/>
      <c r="I35" s="11" t="n"/>
      <c r="J35" s="11" t="n"/>
    </row>
    <row r="36">
      <c r="A36" s="10" t="inlineStr">
        <is>
          <t>x2 (П2), тыс. р.</t>
        </is>
      </c>
      <c r="B36" s="11" t="n"/>
      <c r="C36" s="11" t="n"/>
      <c r="D36" s="11" t="n"/>
      <c r="E36" s="22">
        <f>D28</f>
        <v>150</v>
      </c>
      <c r="F36" s="11" t="n"/>
      <c r="G36" s="11" t="n"/>
      <c r="H36" s="11" t="n"/>
      <c r="I36" s="11" t="n"/>
      <c r="J36" s="11" t="n"/>
    </row>
    <row r="37">
      <c r="A37" s="10" t="inlineStr">
        <is>
          <t>x3 (П3), тыс. р.</t>
        </is>
      </c>
      <c r="B37" s="11" t="n"/>
      <c r="C37" s="11" t="n"/>
      <c r="D37" s="11" t="n"/>
      <c r="E37" s="22" t="n">
        <v>0</v>
      </c>
      <c r="F37" s="11" t="n"/>
      <c r="G37" s="11" t="n"/>
      <c r="H37" s="11" t="n"/>
      <c r="I37" s="11" t="n"/>
      <c r="J37" s="11" t="n"/>
    </row>
    <row r="38">
      <c r="A38" s="10" t="inlineStr">
        <is>
          <t>Z max, ден. ед.</t>
        </is>
      </c>
      <c r="B38" s="11" t="n"/>
      <c r="C38" s="11" t="n"/>
      <c r="D38" s="11" t="n"/>
      <c r="E38" s="22">
        <f>D30</f>
        <v>14750</v>
      </c>
      <c r="F38" s="11" t="n"/>
      <c r="G38" s="11" t="n"/>
      <c r="H38" s="11" t="n"/>
      <c r="I38" s="11" t="n"/>
      <c r="J38" s="11" t="n"/>
    </row>
    <row r="39">
      <c r="A39" s="10" t="inlineStr">
        <is>
          <t>Проверка товарооборота</t>
        </is>
      </c>
      <c r="B39" s="11" t="n"/>
      <c r="C39" s="11" t="n"/>
      <c r="D39" s="11" t="n"/>
      <c r="E39" s="22" t="str">
        <f>IF(D28+D29&gt;=Условие!F8,"x1+x2+x3 = "&amp;ROUND(D28+D29,2)&amp;" ≥ 240 — выполнено","не выполнено")</f>
        <v>x1+x2+x3 = 250 ≥ 240 — выполнено</v>
      </c>
      <c r="F39" s="11" t="n"/>
      <c r="G39" s="11" t="n"/>
      <c r="H39" s="11" t="n"/>
      <c r="I39" s="11" t="n"/>
      <c r="J39" s="11" t="n"/>
    </row>
    <row r="40">
      <c r="A40" s="10" t="inlineStr">
        <is>
          <t>x6 — превышение 240, тыс. р.</t>
        </is>
      </c>
      <c r="B40" s="11" t="n"/>
      <c r="C40" s="11" t="n"/>
      <c r="D40" s="11" t="n"/>
      <c r="E40" s="22">
        <f>D28+D29-Условие!F8</f>
        <v>10</v>
      </c>
      <c r="F40" s="11" t="n"/>
      <c r="G40" s="11" t="n"/>
      <c r="H40" s="11" t="n"/>
      <c r="I40" s="11" t="n"/>
      <c r="J40" s="11" t="n"/>
    </row>
    <row r="41">
      <c r="A41" s="10" t="inlineStr">
        <is>
          <t>y* (y1; y2; y3)</t>
        </is>
      </c>
      <c r="B41" s="11" t="n"/>
      <c r="C41" s="11" t="n"/>
      <c r="D41" s="11" t="n"/>
      <c r="E41" s="22" t="str">
        <f>"("&amp;ROUND(H30,3)&amp;"; "&amp;ROUND(I30,3)&amp;"; 0)"</f>
        <v>(31.667; 0.833; 0)</v>
      </c>
      <c r="F41" s="11" t="n"/>
      <c r="G41" s="11" t="n"/>
      <c r="H41" s="11" t="n"/>
      <c r="I41" s="11" t="n"/>
      <c r="J41" s="11" t="n"/>
    </row>
  </sheetData>
  <mergeCells count="25">
    <mergeCell ref="A35:D35"/>
    <mergeCell ref="L26:L30"/>
    <mergeCell ref="A38:D38"/>
    <mergeCell ref="E40:J40"/>
    <mergeCell ref="E34:J34"/>
    <mergeCell ref="A3:L3"/>
    <mergeCell ref="A2:L2"/>
    <mergeCell ref="A40:D40"/>
    <mergeCell ref="A34:D34"/>
    <mergeCell ref="E36:J36"/>
    <mergeCell ref="A39:D39"/>
    <mergeCell ref="A36:D36"/>
    <mergeCell ref="E41:J41"/>
    <mergeCell ref="E37:J37"/>
    <mergeCell ref="A41:D41"/>
    <mergeCell ref="L19:L23"/>
    <mergeCell ref="A37:D37"/>
    <mergeCell ref="L5:L9"/>
    <mergeCell ref="L12:L16"/>
    <mergeCell ref="B31:D31"/>
    <mergeCell ref="A1:L1"/>
    <mergeCell ref="E39:J39"/>
    <mergeCell ref="E35:J35"/>
    <mergeCell ref="E38:J38"/>
    <mergeCell ref="A33:J3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4" customWidth="1" min="5" max="5"/>
    <col width="8" customWidth="1" min="6" max="6"/>
    <col width="12" customWidth="1" min="7" max="7"/>
    <col width="11" customWidth="1" min="8" max="8"/>
    <col width="40" customWidth="1" min="9" max="9"/>
  </cols>
  <sheetData>
    <row r="1">
      <c r="A1" s="1" t="inlineStr">
        <is>
          <t>Двойственная задача: решение с помощью «Поиск решения»</t>
        </is>
      </c>
    </row>
    <row r="2">
      <c r="A2" s="2" t="inlineStr">
        <is>
          <t>Серые ячейки B5:D5 — переменные y1, y2, y3. F6 — целевая функция f (минимизируем).</t>
        </is>
      </c>
    </row>
    <row r="4">
      <c r="A4" s="4" t="inlineStr">
        <is>
          <t>Переменная</t>
        </is>
      </c>
      <c r="B4" s="4" t="inlineStr">
        <is>
          <t>y1 (площадь)</t>
        </is>
      </c>
      <c r="C4" s="4" t="inlineStr">
        <is>
          <t>y2 (время)</t>
        </is>
      </c>
      <c r="D4" s="4" t="inlineStr">
        <is>
          <t>y3 (товарооб.)</t>
        </is>
      </c>
    </row>
    <row r="5">
      <c r="A5" s="10" t="inlineStr">
        <is>
          <t>Оценка, ден. ед. за единицу</t>
        </is>
      </c>
      <c r="B5" s="12" t="n">
        <v>31.66666666666667</v>
      </c>
      <c r="C5" s="12" t="n">
        <v>0.8333333333333334</v>
      </c>
      <c r="D5" s="12" t="n">
        <v>0</v>
      </c>
    </row>
    <row r="6">
      <c r="A6" s="10" t="inlineStr">
        <is>
          <t>Коэффициенты f</t>
        </is>
      </c>
      <c r="B6" s="13">
        <f>Условие!F6</f>
        <v>450</v>
      </c>
      <c r="C6" s="13">
        <f>Условие!F7</f>
        <v>600</v>
      </c>
      <c r="D6" s="13">
        <f>-Условие!F8</f>
        <v>-240</v>
      </c>
      <c r="E6" s="14" t="inlineStr">
        <is>
          <t>f =</t>
        </is>
      </c>
      <c r="F6" s="15">
        <f>SUMPRODUCT($B$5:$D$5,B6:D6)</f>
        <v>14750</v>
      </c>
      <c r="G6" s="16" t="n"/>
      <c r="H6" s="14" t="inlineStr">
        <is>
          <t>→ min</t>
        </is>
      </c>
    </row>
    <row r="8">
      <c r="A8" s="4" t="inlineStr">
        <is>
          <t>Ограничение (товар)</t>
        </is>
      </c>
      <c r="B8" s="4" t="inlineStr">
        <is>
          <t>y1</t>
        </is>
      </c>
      <c r="C8" s="4" t="inlineStr">
        <is>
          <t>y2</t>
        </is>
      </c>
      <c r="D8" s="4" t="inlineStr">
        <is>
          <t>y3</t>
        </is>
      </c>
      <c r="E8" s="4" t="inlineStr">
        <is>
          <t>Левая часть</t>
        </is>
      </c>
      <c r="F8" s="4" t="inlineStr">
        <is>
          <t>Знак</t>
        </is>
      </c>
      <c r="G8" s="4" t="inlineStr">
        <is>
          <t>Правая часть</t>
        </is>
      </c>
      <c r="H8" s="4" t="inlineStr">
        <is>
          <t>Разница</t>
        </is>
      </c>
      <c r="I8" s="4" t="inlineStr">
        <is>
          <t>Вывод</t>
        </is>
      </c>
    </row>
    <row r="9">
      <c r="A9" s="5" t="inlineStr">
        <is>
          <t>П1</t>
        </is>
      </c>
      <c r="B9" s="13">
        <f>Условие!B6</f>
        <v>1.5</v>
      </c>
      <c r="C9" s="13">
        <f>Условие!B7</f>
        <v>3</v>
      </c>
      <c r="D9" s="13">
        <f>-Условие!B8</f>
        <v>-1</v>
      </c>
      <c r="E9" s="15">
        <f>SUMPRODUCT($B$5:$D$5,B9:D9)</f>
        <v>50</v>
      </c>
      <c r="F9" s="7" t="inlineStr">
        <is>
          <t>&gt;=</t>
        </is>
      </c>
      <c r="G9" s="13">
        <f>Условие!B9</f>
        <v>50</v>
      </c>
      <c r="H9" s="13">
        <f>E9-G9</f>
        <v>0</v>
      </c>
      <c r="I9" s="8" t="str">
        <f>IF(ABS(H9)&lt;0.000001,"равенство → товар выгоден (входит в план)","ресурсы дороже прибыли → товар невыгоден, −"&amp;ROUND(H9,2)&amp;" на 1 тыс. р.")</f>
        <v>равенство → товар выгоден (входит в план)</v>
      </c>
    </row>
    <row r="10">
      <c r="A10" s="5" t="inlineStr">
        <is>
          <t>П2</t>
        </is>
      </c>
      <c r="B10" s="13">
        <f>Условие!C6</f>
        <v>2</v>
      </c>
      <c r="C10" s="13">
        <f>Условие!C7</f>
        <v>2</v>
      </c>
      <c r="D10" s="13">
        <f>-Условие!C8</f>
        <v>-1</v>
      </c>
      <c r="E10" s="15">
        <f>SUMPRODUCT($B$5:$D$5,B10:D10)</f>
        <v>65</v>
      </c>
      <c r="F10" s="7" t="inlineStr">
        <is>
          <t>&gt;=</t>
        </is>
      </c>
      <c r="G10" s="13">
        <f>Условие!C9</f>
        <v>65</v>
      </c>
      <c r="H10" s="13">
        <f>E10-G10</f>
        <v>0</v>
      </c>
      <c r="I10" s="8" t="str">
        <f>IF(ABS(H10)&lt;0.000001,"равенство → товар выгоден (входит в план)","ресурсы дороже прибыли → товар невыгоден, −"&amp;ROUND(H10,2)&amp;" на 1 тыс. р.")</f>
        <v>равенство → товар выгоден (входит в план)</v>
      </c>
    </row>
    <row r="11">
      <c r="A11" s="5" t="inlineStr">
        <is>
          <t>П3</t>
        </is>
      </c>
      <c r="B11" s="13">
        <f>Условие!D6</f>
        <v>3</v>
      </c>
      <c r="C11" s="13">
        <f>Условие!D7</f>
        <v>1.5</v>
      </c>
      <c r="D11" s="13">
        <f>-Условие!D8</f>
        <v>-1</v>
      </c>
      <c r="E11" s="15">
        <f>SUMPRODUCT($B$5:$D$5,B11:D11)</f>
        <v>96.25</v>
      </c>
      <c r="F11" s="7" t="inlineStr">
        <is>
          <t>&gt;=</t>
        </is>
      </c>
      <c r="G11" s="13">
        <f>Условие!D9</f>
        <v>70</v>
      </c>
      <c r="H11" s="13">
        <f>E11-G11</f>
        <v>26.25</v>
      </c>
      <c r="I11" s="8" t="str">
        <f>IF(ABS(H11)&lt;0.000001,"равенство → товар выгоден (входит в план)","ресурсы дороже прибыли → товар невыгоден, −"&amp;ROUND(H11,2)&amp;" на 1 тыс. р.")</f>
        <v>ресурсы дороже прибыли → товар невыгоден, −26.25 на 1 тыс. р.</v>
      </c>
    </row>
    <row r="13">
      <c r="A13" s="9" t="inlineStr">
        <is>
          <t>Сравнение с прямой задачей (1-я теорема двойственности)</t>
        </is>
      </c>
    </row>
    <row r="14">
      <c r="A14" s="10" t="inlineStr">
        <is>
          <t>Z max прямой задачи</t>
        </is>
      </c>
      <c r="B14" s="22">
        <f>'Прямая задача'!F6</f>
        <v>14750</v>
      </c>
      <c r="C14" s="11" t="n"/>
      <c r="D14" s="11" t="n"/>
      <c r="E14" s="11" t="n"/>
    </row>
    <row r="15">
      <c r="A15" s="10" t="inlineStr">
        <is>
          <t>f min двойственной задачи</t>
        </is>
      </c>
      <c r="B15" s="22">
        <f>F6</f>
        <v>14750</v>
      </c>
      <c r="C15" s="11" t="n"/>
      <c r="D15" s="11" t="n"/>
      <c r="E15" s="11" t="n"/>
    </row>
    <row r="16">
      <c r="A16" s="10" t="inlineStr">
        <is>
          <t>Совпадают?</t>
        </is>
      </c>
      <c r="B16" s="22" t="str">
        <f>IF(ABS(B14-B15)&lt;0.001,"да: Z max = f min — решения верны","нет")</f>
        <v>да: Z max = f min — решения верны</v>
      </c>
      <c r="C16" s="11" t="n"/>
      <c r="D16" s="11" t="n"/>
      <c r="E16" s="11" t="n"/>
    </row>
    <row r="17">
      <c r="A17" s="10" t="inlineStr">
        <is>
          <t>y1, y2 из симплекс-таблицы</t>
        </is>
      </c>
      <c r="B17" s="5" t="str">
        <f>ROUND('Симплекс-метод'!H30,3)&amp;"; "&amp;ROUND('Симплекс-метод'!I30,3)&amp;" — те же, что в B5:C5"</f>
        <v>31.667; 0.833 — те же, что в B5:C5</v>
      </c>
      <c r="C17" s="11" t="n"/>
      <c r="D17" s="11" t="n"/>
      <c r="E17" s="11" t="n"/>
    </row>
    <row r="19">
      <c r="A19" s="9" t="inlineStr">
        <is>
          <t>Как решить самому</t>
        </is>
      </c>
    </row>
    <row r="20">
      <c r="A20" s="3" t="inlineStr">
        <is>
          <t>1. Данные → Поиск решения (модель этого листа сохранена отдельно от прямой задачи).</t>
        </is>
      </c>
    </row>
    <row r="21">
      <c r="A21" s="3" t="inlineStr">
        <is>
          <t xml:space="preserve">     • Целевая: $F$6;   До: Минимум;   Изменяя ячейки: $B$5:$D$5</t>
        </is>
      </c>
    </row>
    <row r="22">
      <c r="A22" s="3" t="inlineStr">
        <is>
          <t xml:space="preserve">     • Ограничение: $E$9:$E$11 &gt;= $G$9:$G$11;   переменные неотрицательные;   метод — симплекс</t>
        </is>
      </c>
    </row>
    <row r="23">
      <c r="A23" s="3" t="inlineStr">
        <is>
          <t>2. «Найти решение» → выделить отчёты «Результаты», «Устойчивость», «Пределы» → ОК.</t>
        </is>
      </c>
    </row>
  </sheetData>
  <mergeCells count="13">
    <mergeCell ref="B17:E17"/>
    <mergeCell ref="A2:I2"/>
    <mergeCell ref="A19:I19"/>
    <mergeCell ref="A13:I13"/>
    <mergeCell ref="B16:E16"/>
    <mergeCell ref="A1:I1"/>
    <mergeCell ref="B15:E15"/>
    <mergeCell ref="A23:I23"/>
    <mergeCell ref="F6:G6"/>
    <mergeCell ref="A22:I22"/>
    <mergeCell ref="A20:I20"/>
    <mergeCell ref="A21:I21"/>
    <mergeCell ref="B14:E14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0" customWidth="1" min="7" max="7"/>
  </cols>
  <sheetData>
    <row r="1">
      <c r="A1" s="1" t="inlineStr">
        <is>
          <t>Отчёты «Поиска решения» (симплекс-метод)</t>
        </is>
      </c>
    </row>
    <row r="2" ht="42" customHeight="1">
      <c r="A2" s="2" t="inlineStr">
        <is>
          <t>Числа ниже совпадают с тем, что выдаёт Excel в отчётах «Результаты», «Устойчивость», «Пределы». Как получить отчёты от самого Excel — инструкция на листах «Прямая задача» и «Двойственная задача». 1E+30 у Excel означает «бесконечно».</t>
        </is>
      </c>
    </row>
    <row r="3"/>
    <row r="4">
      <c r="A4" s="23" t="inlineStr">
        <is>
          <t>ПРЯМАЯ ЗАДАЧА</t>
        </is>
      </c>
    </row>
    <row r="5"/>
    <row r="6">
      <c r="A6" s="9" t="inlineStr">
        <is>
          <t>Отчёт по результатам</t>
        </is>
      </c>
    </row>
    <row r="7">
      <c r="A7" s="4" t="inlineStr">
        <is>
          <t>Что</t>
        </is>
      </c>
      <c r="B7" s="4" t="inlineStr">
        <is>
          <t>Исходно</t>
        </is>
      </c>
      <c r="C7" s="4" t="inlineStr">
        <is>
          <t>Окончательно</t>
        </is>
      </c>
      <c r="D7" s="4" t="inlineStr">
        <is>
          <t>Формула</t>
        </is>
      </c>
      <c r="E7" s="4" t="inlineStr">
        <is>
          <t>Состояние</t>
        </is>
      </c>
      <c r="F7" s="4" t="inlineStr">
        <is>
          <t>Допуск</t>
        </is>
      </c>
    </row>
    <row r="8">
      <c r="A8" s="24" t="inlineStr">
        <is>
          <t>Z (прибыль), max</t>
        </is>
      </c>
      <c r="B8" s="13" t="n">
        <v>0</v>
      </c>
      <c r="C8" s="13" t="n">
        <v>14750</v>
      </c>
      <c r="D8" s="13" t="inlineStr"/>
      <c r="E8" s="13" t="inlineStr"/>
      <c r="F8" s="13" t="inlineStr"/>
    </row>
    <row r="9">
      <c r="A9" s="24" t="inlineStr">
        <is>
          <t>x1 (П1)</t>
        </is>
      </c>
      <c r="B9" s="13" t="n">
        <v>0</v>
      </c>
      <c r="C9" s="13" t="n">
        <v>100</v>
      </c>
      <c r="D9" s="13" t="inlineStr"/>
      <c r="E9" s="13" t="inlineStr"/>
      <c r="F9" s="13" t="inlineStr"/>
    </row>
    <row r="10">
      <c r="A10" s="24" t="inlineStr">
        <is>
          <t>x2 (П2)</t>
        </is>
      </c>
      <c r="B10" s="13" t="n">
        <v>0</v>
      </c>
      <c r="C10" s="13" t="n">
        <v>150</v>
      </c>
      <c r="D10" s="13" t="inlineStr"/>
      <c r="E10" s="13" t="inlineStr"/>
      <c r="F10" s="13" t="inlineStr"/>
    </row>
    <row r="11">
      <c r="A11" s="24" t="inlineStr">
        <is>
          <t>x3 (П3)</t>
        </is>
      </c>
      <c r="B11" s="13" t="n">
        <v>0</v>
      </c>
      <c r="C11" s="13" t="n">
        <v>0</v>
      </c>
      <c r="D11" s="13" t="inlineStr"/>
      <c r="E11" s="13" t="inlineStr"/>
      <c r="F11" s="13" t="inlineStr"/>
    </row>
    <row r="12">
      <c r="A12" s="24" t="inlineStr">
        <is>
          <t>Площадь</t>
        </is>
      </c>
      <c r="B12" s="13" t="inlineStr"/>
      <c r="C12" s="13" t="n">
        <v>450</v>
      </c>
      <c r="D12" s="13" t="inlineStr">
        <is>
          <t>E9 &lt;= G9 (450)</t>
        </is>
      </c>
      <c r="E12" s="13" t="inlineStr">
        <is>
          <t>Привязка</t>
        </is>
      </c>
      <c r="F12" s="13" t="n">
        <v>0</v>
      </c>
    </row>
    <row r="13">
      <c r="A13" s="24" t="inlineStr">
        <is>
          <t>Рабочее время</t>
        </is>
      </c>
      <c r="B13" s="13" t="inlineStr"/>
      <c r="C13" s="13" t="n">
        <v>600</v>
      </c>
      <c r="D13" s="13" t="inlineStr">
        <is>
          <t>E10 &lt;= G10 (600)</t>
        </is>
      </c>
      <c r="E13" s="13" t="inlineStr">
        <is>
          <t>Привязка</t>
        </is>
      </c>
      <c r="F13" s="13" t="n">
        <v>0</v>
      </c>
    </row>
    <row r="14">
      <c r="A14" s="24" t="inlineStr">
        <is>
          <t>Товарооборот</t>
        </is>
      </c>
      <c r="B14" s="13" t="inlineStr"/>
      <c r="C14" s="13" t="n">
        <v>250</v>
      </c>
      <c r="D14" s="13" t="inlineStr">
        <is>
          <t>E11 &gt;= G11 (240)</t>
        </is>
      </c>
      <c r="E14" s="13" t="inlineStr">
        <is>
          <t>Без привязки</t>
        </is>
      </c>
      <c r="F14" s="13" t="n">
        <v>10</v>
      </c>
    </row>
    <row r="15">
      <c r="A15" s="2" t="inlineStr">
        <is>
          <t>«Привязка» — ограничение выполняется как равенство (ресурс израсходован весь). «Допуск» — остаток ресурса.</t>
        </is>
      </c>
    </row>
    <row r="16"/>
    <row r="17">
      <c r="A17" s="9" t="inlineStr">
        <is>
          <t>Отчёт по устойчивости — переменные</t>
        </is>
      </c>
    </row>
    <row r="18">
      <c r="A18" s="4" t="inlineStr">
        <is>
          <t>Переменная</t>
        </is>
      </c>
      <c r="B18" s="4" t="inlineStr">
        <is>
          <t>Значение</t>
        </is>
      </c>
      <c r="C18" s="4" t="inlineStr">
        <is>
          <t>Нормир. стоимость</t>
        </is>
      </c>
      <c r="D18" s="4" t="inlineStr">
        <is>
          <t>Коэф. Z</t>
        </is>
      </c>
      <c r="E18" s="4" t="inlineStr">
        <is>
          <t>Доп. увеличение</t>
        </is>
      </c>
      <c r="F18" s="4" t="inlineStr">
        <is>
          <t>Доп. уменьшение</t>
        </is>
      </c>
    </row>
    <row r="19">
      <c r="A19" s="24" t="inlineStr">
        <is>
          <t>x1 (П1)</t>
        </is>
      </c>
      <c r="B19" s="13" t="n">
        <v>100</v>
      </c>
      <c r="C19" s="13" t="n">
        <v>0</v>
      </c>
      <c r="D19" s="13" t="n">
        <v>50</v>
      </c>
      <c r="E19" s="13" t="n">
        <v>26.25</v>
      </c>
      <c r="F19" s="13" t="n">
        <v>1.25</v>
      </c>
    </row>
    <row r="20">
      <c r="A20" s="24" t="inlineStr">
        <is>
          <t>x2 (П2)</t>
        </is>
      </c>
      <c r="B20" s="13" t="n">
        <v>150</v>
      </c>
      <c r="C20" s="13" t="n">
        <v>0</v>
      </c>
      <c r="D20" s="13" t="n">
        <v>65</v>
      </c>
      <c r="E20" s="13" t="n">
        <v>1.666666666666667</v>
      </c>
      <c r="F20" s="13" t="n">
        <v>11.66666666666667</v>
      </c>
    </row>
    <row r="21">
      <c r="A21" s="24" t="inlineStr">
        <is>
          <t>x3 (П3)</t>
        </is>
      </c>
      <c r="B21" s="13" t="n">
        <v>0</v>
      </c>
      <c r="C21" s="13" t="n">
        <v>-26.25</v>
      </c>
      <c r="D21" s="13" t="n">
        <v>70</v>
      </c>
      <c r="E21" s="13" t="n">
        <v>26.25</v>
      </c>
      <c r="F21" s="13" t="inlineStr">
        <is>
          <t>1E+30</t>
        </is>
      </c>
    </row>
    <row r="22" ht="30" customHeight="1">
      <c r="A22" s="2" t="inlineStr">
        <is>
          <t>Нормир. стоимость −26,25 у x3: если заставить продать 1 тыс. р. товара П3, прибыль упадёт на 26,25. П3 станет выгоден, если его прибыль вырастет больше чем на 26,25 (до 96,25).</t>
        </is>
      </c>
    </row>
    <row r="23"/>
    <row r="24">
      <c r="A24" s="9" t="inlineStr">
        <is>
          <t>Отчёт по устойчивости — ограничения</t>
        </is>
      </c>
    </row>
    <row r="25">
      <c r="A25" s="4" t="inlineStr">
        <is>
          <t>Ограничение</t>
        </is>
      </c>
      <c r="B25" s="4" t="inlineStr">
        <is>
          <t>Значение</t>
        </is>
      </c>
      <c r="C25" s="4" t="inlineStr">
        <is>
          <t>Теневая цена</t>
        </is>
      </c>
      <c r="D25" s="4" t="inlineStr">
        <is>
          <t>Правая часть</t>
        </is>
      </c>
      <c r="E25" s="4" t="inlineStr">
        <is>
          <t>Доп. увеличение</t>
        </is>
      </c>
      <c r="F25" s="4" t="inlineStr">
        <is>
          <t>Доп. уменьшение</t>
        </is>
      </c>
    </row>
    <row r="26">
      <c r="A26" s="24" t="inlineStr">
        <is>
          <t>Площадь</t>
        </is>
      </c>
      <c r="B26" s="13" t="n">
        <v>450</v>
      </c>
      <c r="C26" s="13" t="n">
        <v>31.66666666666667</v>
      </c>
      <c r="D26" s="13" t="n">
        <v>450</v>
      </c>
      <c r="E26" s="13" t="n">
        <v>150</v>
      </c>
      <c r="F26" s="13" t="n">
        <v>30</v>
      </c>
    </row>
    <row r="27">
      <c r="A27" s="24" t="inlineStr">
        <is>
          <t>Рабочее время</t>
        </is>
      </c>
      <c r="B27" s="13" t="n">
        <v>600</v>
      </c>
      <c r="C27" s="13" t="n">
        <v>0.8333333333333334</v>
      </c>
      <c r="D27" s="13" t="n">
        <v>600</v>
      </c>
      <c r="E27" s="13" t="n">
        <v>300</v>
      </c>
      <c r="F27" s="13" t="n">
        <v>60</v>
      </c>
    </row>
    <row r="28">
      <c r="A28" s="24" t="inlineStr">
        <is>
          <t>Товарооборот</t>
        </is>
      </c>
      <c r="B28" s="13" t="n">
        <v>250</v>
      </c>
      <c r="C28" s="13" t="n">
        <v>0</v>
      </c>
      <c r="D28" s="13" t="n">
        <v>240</v>
      </c>
      <c r="E28" s="13" t="n">
        <v>10</v>
      </c>
      <c r="F28" s="13" t="inlineStr">
        <is>
          <t>1E+30</t>
        </is>
      </c>
    </row>
    <row r="29" ht="30" customHeight="1">
      <c r="A29" s="2" t="inlineStr">
        <is>
          <t>Теневая цена = двойственная оценка y: на сколько вырастет прибыль, если ресурса станет на 1 больше. Пока ресурс меняется в пределах «доп. увеличение/уменьшение», теневая цена не меняется.</t>
        </is>
      </c>
    </row>
    <row r="30"/>
    <row r="31">
      <c r="A31" s="9" t="inlineStr">
        <is>
          <t>Отчёт по пределам</t>
        </is>
      </c>
    </row>
    <row r="32">
      <c r="A32" s="4" t="inlineStr">
        <is>
          <t>Переменная</t>
        </is>
      </c>
      <c r="B32" s="4" t="inlineStr">
        <is>
          <t>Значение</t>
        </is>
      </c>
      <c r="C32" s="4" t="inlineStr">
        <is>
          <t>Нижний предел</t>
        </is>
      </c>
      <c r="D32" s="4" t="inlineStr">
        <is>
          <t>Z при нижнем</t>
        </is>
      </c>
      <c r="E32" s="4" t="inlineStr">
        <is>
          <t>Верхний предел</t>
        </is>
      </c>
      <c r="F32" s="4" t="inlineStr">
        <is>
          <t>Z при верхнем</t>
        </is>
      </c>
    </row>
    <row r="33">
      <c r="A33" s="24" t="inlineStr">
        <is>
          <t>x1 (П1)</t>
        </is>
      </c>
      <c r="B33" s="13" t="n">
        <v>100</v>
      </c>
      <c r="C33" s="13" t="n">
        <v>90</v>
      </c>
      <c r="D33" s="13" t="n">
        <v>14250</v>
      </c>
      <c r="E33" s="13" t="n">
        <v>100</v>
      </c>
      <c r="F33" s="13" t="n">
        <v>14750</v>
      </c>
    </row>
    <row r="34">
      <c r="A34" s="24" t="inlineStr">
        <is>
          <t>x2 (П2)</t>
        </is>
      </c>
      <c r="B34" s="13" t="n">
        <v>150</v>
      </c>
      <c r="C34" s="13" t="n">
        <v>140</v>
      </c>
      <c r="D34" s="13" t="n">
        <v>14100</v>
      </c>
      <c r="E34" s="13" t="n">
        <v>150</v>
      </c>
      <c r="F34" s="13" t="n">
        <v>14750</v>
      </c>
    </row>
    <row r="35">
      <c r="A35" s="24" t="inlineStr">
        <is>
          <t>x3 (П3)</t>
        </is>
      </c>
      <c r="B35" s="13" t="n">
        <v>0</v>
      </c>
      <c r="C35" s="13" t="n">
        <v>0</v>
      </c>
      <c r="D35" s="13" t="n">
        <v>14750</v>
      </c>
      <c r="E35" s="13" t="n">
        <v>0</v>
      </c>
      <c r="F35" s="13" t="n">
        <v>14750</v>
      </c>
    </row>
    <row r="36" ht="30" customHeight="1">
      <c r="A36" s="2" t="inlineStr">
        <is>
          <t>Пределы: насколько можно менять одну переменную при остальных зафиксированных, не нарушая ограничений. Нижние пределы x1 = 90 и x2 = 140 задаёт условие товарооборота ≥ 240.</t>
        </is>
      </c>
    </row>
    <row r="37"/>
    <row r="38">
      <c r="A38" s="23" t="inlineStr">
        <is>
          <t>ДВОЙСТВЕННАЯ ЗАДАЧА</t>
        </is>
      </c>
    </row>
    <row r="39"/>
    <row r="40">
      <c r="A40" s="9" t="inlineStr">
        <is>
          <t>Отчёт по результатам</t>
        </is>
      </c>
    </row>
    <row r="41">
      <c r="A41" s="4" t="inlineStr">
        <is>
          <t>Что</t>
        </is>
      </c>
      <c r="B41" s="4" t="inlineStr">
        <is>
          <t>Исходно</t>
        </is>
      </c>
      <c r="C41" s="4" t="inlineStr">
        <is>
          <t>Окончательно</t>
        </is>
      </c>
      <c r="D41" s="4" t="inlineStr">
        <is>
          <t>Формула</t>
        </is>
      </c>
      <c r="E41" s="4" t="inlineStr">
        <is>
          <t>Состояние</t>
        </is>
      </c>
      <c r="F41" s="4" t="inlineStr">
        <is>
          <t>Допуск</t>
        </is>
      </c>
    </row>
    <row r="42">
      <c r="A42" s="24" t="inlineStr">
        <is>
          <t>f (оценка ресурсов), min</t>
        </is>
      </c>
      <c r="B42" s="13" t="n">
        <v>0</v>
      </c>
      <c r="C42" s="13" t="n">
        <v>14750</v>
      </c>
      <c r="D42" s="13" t="inlineStr"/>
      <c r="E42" s="13" t="inlineStr"/>
      <c r="F42" s="13" t="inlineStr"/>
    </row>
    <row r="43">
      <c r="A43" s="24" t="inlineStr">
        <is>
          <t>y1 (площадь)</t>
        </is>
      </c>
      <c r="B43" s="13" t="n">
        <v>0</v>
      </c>
      <c r="C43" s="13" t="n">
        <v>31.66666666666667</v>
      </c>
      <c r="D43" s="13" t="inlineStr"/>
      <c r="E43" s="13" t="inlineStr"/>
      <c r="F43" s="13" t="inlineStr"/>
    </row>
    <row r="44">
      <c r="A44" s="24" t="inlineStr">
        <is>
          <t>y2 (время)</t>
        </is>
      </c>
      <c r="B44" s="13" t="n">
        <v>0</v>
      </c>
      <c r="C44" s="13" t="n">
        <v>0.8333333333333334</v>
      </c>
      <c r="D44" s="13" t="inlineStr"/>
      <c r="E44" s="13" t="inlineStr"/>
      <c r="F44" s="13" t="inlineStr"/>
    </row>
    <row r="45">
      <c r="A45" s="24" t="inlineStr">
        <is>
          <t>y3 (товарооборот)</t>
        </is>
      </c>
      <c r="B45" s="13" t="n">
        <v>0</v>
      </c>
      <c r="C45" s="13" t="n">
        <v>0</v>
      </c>
      <c r="D45" s="13" t="inlineStr"/>
      <c r="E45" s="13" t="inlineStr"/>
      <c r="F45" s="13" t="inlineStr"/>
    </row>
    <row r="46">
      <c r="A46" s="24" t="inlineStr">
        <is>
          <t>Ограничение П1</t>
        </is>
      </c>
      <c r="B46" s="13" t="inlineStr"/>
      <c r="C46" s="13" t="n">
        <v>50</v>
      </c>
      <c r="D46" s="13" t="inlineStr">
        <is>
          <t>E9 &gt;= G9 (50)</t>
        </is>
      </c>
      <c r="E46" s="13" t="inlineStr">
        <is>
          <t>Привязка</t>
        </is>
      </c>
      <c r="F46" s="13" t="n">
        <v>0</v>
      </c>
    </row>
    <row r="47">
      <c r="A47" s="24" t="inlineStr">
        <is>
          <t>Ограничение П2</t>
        </is>
      </c>
      <c r="B47" s="13" t="inlineStr"/>
      <c r="C47" s="13" t="n">
        <v>65</v>
      </c>
      <c r="D47" s="13" t="inlineStr">
        <is>
          <t>E10 &gt;= G10 (65)</t>
        </is>
      </c>
      <c r="E47" s="13" t="inlineStr">
        <is>
          <t>Привязка</t>
        </is>
      </c>
      <c r="F47" s="13" t="n">
        <v>0</v>
      </c>
    </row>
    <row r="48">
      <c r="A48" s="24" t="inlineStr">
        <is>
          <t>Ограничение П3</t>
        </is>
      </c>
      <c r="B48" s="13" t="inlineStr"/>
      <c r="C48" s="13" t="n">
        <v>96.25</v>
      </c>
      <c r="D48" s="13" t="inlineStr">
        <is>
          <t>E11 &gt;= G11 (70)</t>
        </is>
      </c>
      <c r="E48" s="13" t="inlineStr">
        <is>
          <t>Без привязки</t>
        </is>
      </c>
      <c r="F48" s="13" t="n">
        <v>26.25</v>
      </c>
    </row>
    <row r="49"/>
    <row r="50">
      <c r="A50" s="9" t="inlineStr">
        <is>
          <t>Отчёт по устойчивости — переменные</t>
        </is>
      </c>
    </row>
    <row r="51">
      <c r="A51" s="4" t="inlineStr">
        <is>
          <t>Переменная</t>
        </is>
      </c>
      <c r="B51" s="4" t="inlineStr">
        <is>
          <t>Значение</t>
        </is>
      </c>
      <c r="C51" s="4" t="inlineStr">
        <is>
          <t>Нормир. стоимость</t>
        </is>
      </c>
      <c r="D51" s="4" t="inlineStr">
        <is>
          <t>Коэф. f</t>
        </is>
      </c>
      <c r="E51" s="4" t="inlineStr">
        <is>
          <t>Доп. увеличение</t>
        </is>
      </c>
      <c r="F51" s="4" t="inlineStr">
        <is>
          <t>Доп. уменьшение</t>
        </is>
      </c>
    </row>
    <row r="52">
      <c r="A52" s="24" t="inlineStr">
        <is>
          <t>y1 (площадь)</t>
        </is>
      </c>
      <c r="B52" s="13" t="n">
        <v>31.66666666666667</v>
      </c>
      <c r="C52" s="13" t="n">
        <v>0</v>
      </c>
      <c r="D52" s="13" t="n">
        <v>450</v>
      </c>
      <c r="E52" s="13" t="n">
        <v>150</v>
      </c>
      <c r="F52" s="13" t="n">
        <v>30</v>
      </c>
    </row>
    <row r="53">
      <c r="A53" s="24" t="inlineStr">
        <is>
          <t>y2 (время)</t>
        </is>
      </c>
      <c r="B53" s="13" t="n">
        <v>0.8333333333333334</v>
      </c>
      <c r="C53" s="13" t="n">
        <v>0</v>
      </c>
      <c r="D53" s="13" t="n">
        <v>600</v>
      </c>
      <c r="E53" s="13" t="n">
        <v>300</v>
      </c>
      <c r="F53" s="13" t="n">
        <v>60</v>
      </c>
    </row>
    <row r="54">
      <c r="A54" s="24" t="inlineStr">
        <is>
          <t>y3 (товарооборот)</t>
        </is>
      </c>
      <c r="B54" s="13" t="n">
        <v>0</v>
      </c>
      <c r="C54" s="13" t="n">
        <v>10</v>
      </c>
      <c r="D54" s="13" t="n">
        <v>-240</v>
      </c>
      <c r="E54" s="13" t="inlineStr">
        <is>
          <t>1E+30</t>
        </is>
      </c>
      <c r="F54" s="13" t="n">
        <v>10</v>
      </c>
    </row>
    <row r="55"/>
    <row r="56">
      <c r="A56" s="9" t="inlineStr">
        <is>
          <t>Отчёт по устойчивости — ограничения</t>
        </is>
      </c>
    </row>
    <row r="57">
      <c r="A57" s="4" t="inlineStr">
        <is>
          <t>Ограничение</t>
        </is>
      </c>
      <c r="B57" s="4" t="inlineStr">
        <is>
          <t>Значение</t>
        </is>
      </c>
      <c r="C57" s="4" t="inlineStr">
        <is>
          <t>Теневая цена</t>
        </is>
      </c>
      <c r="D57" s="4" t="inlineStr">
        <is>
          <t>Правая часть</t>
        </is>
      </c>
      <c r="E57" s="4" t="inlineStr">
        <is>
          <t>Доп. увеличение</t>
        </is>
      </c>
      <c r="F57" s="4" t="inlineStr">
        <is>
          <t>Доп. уменьшение</t>
        </is>
      </c>
    </row>
    <row r="58">
      <c r="A58" s="24" t="inlineStr">
        <is>
          <t>П1</t>
        </is>
      </c>
      <c r="B58" s="13" t="n">
        <v>50</v>
      </c>
      <c r="C58" s="13" t="n">
        <v>100</v>
      </c>
      <c r="D58" s="13" t="n">
        <v>50</v>
      </c>
      <c r="E58" s="13" t="n">
        <v>26.25</v>
      </c>
      <c r="F58" s="13" t="n">
        <v>1.25</v>
      </c>
    </row>
    <row r="59">
      <c r="A59" s="24" t="inlineStr">
        <is>
          <t>П2</t>
        </is>
      </c>
      <c r="B59" s="13" t="n">
        <v>65</v>
      </c>
      <c r="C59" s="13" t="n">
        <v>150</v>
      </c>
      <c r="D59" s="13" t="n">
        <v>65</v>
      </c>
      <c r="E59" s="13" t="n">
        <v>1.666666666666667</v>
      </c>
      <c r="F59" s="13" t="n">
        <v>11.66666666666667</v>
      </c>
    </row>
    <row r="60">
      <c r="A60" s="24" t="inlineStr">
        <is>
          <t>П3</t>
        </is>
      </c>
      <c r="B60" s="13" t="n">
        <v>96.25</v>
      </c>
      <c r="C60" s="13" t="n">
        <v>0</v>
      </c>
      <c r="D60" s="13" t="n">
        <v>70</v>
      </c>
      <c r="E60" s="13" t="n">
        <v>26.25</v>
      </c>
      <c r="F60" s="13" t="inlineStr">
        <is>
          <t>1E+30</t>
        </is>
      </c>
    </row>
    <row r="61">
      <c r="A61" s="2" t="inlineStr">
        <is>
          <t>Теневые цены двойственной задачи (100; 150; 0) — это оптимальный план прямой задачи. Так и должно быть.</t>
        </is>
      </c>
    </row>
    <row r="62"/>
    <row r="63">
      <c r="A63" s="9" t="inlineStr">
        <is>
          <t>Отчёт по пределам</t>
        </is>
      </c>
    </row>
    <row r="64">
      <c r="A64" s="4" t="inlineStr">
        <is>
          <t>Переменная</t>
        </is>
      </c>
      <c r="B64" s="4" t="inlineStr">
        <is>
          <t>Значение</t>
        </is>
      </c>
      <c r="C64" s="4" t="inlineStr">
        <is>
          <t>Нижний предел</t>
        </is>
      </c>
      <c r="D64" s="4" t="inlineStr">
        <is>
          <t>f при нижнем</t>
        </is>
      </c>
      <c r="E64" s="4" t="inlineStr">
        <is>
          <t>Верхний предел</t>
        </is>
      </c>
      <c r="F64" s="4" t="inlineStr">
        <is>
          <t>f при верхнем</t>
        </is>
      </c>
    </row>
    <row r="65">
      <c r="A65" s="24" t="inlineStr">
        <is>
          <t>y1 (площадь)</t>
        </is>
      </c>
      <c r="B65" s="13" t="n">
        <v>31.66666666666667</v>
      </c>
      <c r="C65" s="13" t="n">
        <v>31.66666666666667</v>
      </c>
      <c r="D65" s="13" t="n">
        <v>14750</v>
      </c>
      <c r="E65" s="13" t="inlineStr">
        <is>
          <t>#Н/Д</t>
        </is>
      </c>
      <c r="F65" s="13" t="inlineStr">
        <is>
          <t>#Н/Д</t>
        </is>
      </c>
    </row>
    <row r="66">
      <c r="A66" s="24" t="inlineStr">
        <is>
          <t>y2 (время)</t>
        </is>
      </c>
      <c r="B66" s="13" t="n">
        <v>0.8333333333333334</v>
      </c>
      <c r="C66" s="13" t="n">
        <v>0.8333333333333334</v>
      </c>
      <c r="D66" s="13" t="n">
        <v>14750</v>
      </c>
      <c r="E66" s="13" t="inlineStr">
        <is>
          <t>#Н/Д</t>
        </is>
      </c>
      <c r="F66" s="13" t="inlineStr">
        <is>
          <t>#Н/Д</t>
        </is>
      </c>
    </row>
    <row r="67">
      <c r="A67" s="24" t="inlineStr">
        <is>
          <t>y3 (товарооборот)</t>
        </is>
      </c>
      <c r="B67" s="13" t="n">
        <v>0</v>
      </c>
      <c r="C67" s="13" t="n">
        <v>0</v>
      </c>
      <c r="D67" s="13" t="n">
        <v>14750</v>
      </c>
      <c r="E67" s="13" t="n">
        <v>0</v>
      </c>
      <c r="F67" s="13" t="n">
        <v>14750</v>
      </c>
    </row>
    <row r="68">
      <c r="A68" s="2" t="inlineStr">
        <is>
          <t>#Н/Д — Excel так пишет, когда переменную можно увеличивать бесконечно (f при этом растёт без предела).</t>
        </is>
      </c>
    </row>
  </sheetData>
  <mergeCells count="18">
    <mergeCell ref="A36:G36"/>
    <mergeCell ref="A61:G61"/>
    <mergeCell ref="A1:G1"/>
    <mergeCell ref="A17:G17"/>
    <mergeCell ref="A40:G40"/>
    <mergeCell ref="A56:G56"/>
    <mergeCell ref="A31:G31"/>
    <mergeCell ref="A6:G6"/>
    <mergeCell ref="A22:G22"/>
    <mergeCell ref="A50:G50"/>
    <mergeCell ref="A4:G4"/>
    <mergeCell ref="A24:G24"/>
    <mergeCell ref="A2:G2"/>
    <mergeCell ref="A38:G38"/>
    <mergeCell ref="A15:G15"/>
    <mergeCell ref="A29:G29"/>
    <mergeCell ref="A68:G68"/>
    <mergeCell ref="A63:G6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Анализ оптимальных решений (пункты 4 и 6)</t>
        </is>
      </c>
    </row>
    <row r="3">
      <c r="A3" s="9" t="inlineStr">
        <is>
          <t>4а) Какая продукция вошла в план</t>
        </is>
      </c>
    </row>
    <row r="4">
      <c r="A4" s="4" t="inlineStr">
        <is>
          <t>Товар</t>
        </is>
      </c>
      <c r="B4" s="4" t="inlineStr">
        <is>
          <t>План, тыс. р.</t>
        </is>
      </c>
      <c r="C4" s="4" t="inlineStr">
        <is>
          <t>Прибыль/ед.</t>
        </is>
      </c>
      <c r="D4" s="4" t="inlineStr">
        <is>
          <t>Δj (оценка)</t>
        </is>
      </c>
      <c r="E4" s="4" t="inlineStr"/>
      <c r="F4" s="4" t="inlineStr"/>
      <c r="G4" s="4" t="inlineStr">
        <is>
          <t>Вывод</t>
        </is>
      </c>
    </row>
    <row r="5">
      <c r="A5" s="10" t="inlineStr">
        <is>
          <t>П1</t>
        </is>
      </c>
      <c r="B5" s="13">
        <f>'Прямая задача'!B5</f>
        <v>100</v>
      </c>
      <c r="C5" s="13">
        <f>Условие!B9</f>
        <v>50</v>
      </c>
      <c r="D5" s="13">
        <f>'Симплекс-метод'!E30</f>
        <v>0</v>
      </c>
      <c r="E5" s="7" t="n"/>
      <c r="F5" s="7" t="n"/>
      <c r="G5" s="8" t="str">
        <f>IF(B5&gt;0,"входит в план","не входит: каждая 1 тыс. р. уменьшит прибыль на "&amp;ROUND(D5,2))</f>
        <v>входит в план</v>
      </c>
    </row>
    <row r="6">
      <c r="A6" s="10" t="inlineStr">
        <is>
          <t>П2</t>
        </is>
      </c>
      <c r="B6" s="13">
        <f>'Прямая задача'!C5</f>
        <v>150</v>
      </c>
      <c r="C6" s="13">
        <f>Условие!C9</f>
        <v>65</v>
      </c>
      <c r="D6" s="13">
        <f>'Симплекс-метод'!F30</f>
        <v>0</v>
      </c>
      <c r="E6" s="7" t="n"/>
      <c r="F6" s="7" t="n"/>
      <c r="G6" s="8" t="str">
        <f>IF(B6&gt;0,"входит в план","не входит: каждая 1 тыс. р. уменьшит прибыль на "&amp;ROUND(D6,2))</f>
        <v>входит в план</v>
      </c>
    </row>
    <row r="7">
      <c r="A7" s="10" t="inlineStr">
        <is>
          <t>П3</t>
        </is>
      </c>
      <c r="B7" s="13">
        <f>'Прямая задача'!D5</f>
        <v>0</v>
      </c>
      <c r="C7" s="13">
        <f>Условие!D9</f>
        <v>70</v>
      </c>
      <c r="D7" s="13">
        <f>'Симплекс-метод'!G30</f>
        <v>26.25</v>
      </c>
      <c r="E7" s="7" t="n"/>
      <c r="F7" s="7" t="n"/>
      <c r="G7" s="8" t="str">
        <f>IF(B7&gt;0,"входит в план","не входит: каждая 1 тыс. р. уменьшит прибыль на "&amp;ROUND(D7,2))</f>
        <v>не входит: каждая 1 тыс. р. уменьшит прибыль на 26.25</v>
      </c>
    </row>
    <row r="9">
      <c r="A9" s="9" t="inlineStr">
        <is>
          <t>4б, 4в, 4г) Ресурсы и двойственные оценки</t>
        </is>
      </c>
    </row>
    <row r="10">
      <c r="A10" s="4" t="inlineStr">
        <is>
          <t>Ресурс</t>
        </is>
      </c>
      <c r="B10" s="4" t="inlineStr">
        <is>
          <t>Израсходовано</t>
        </is>
      </c>
      <c r="C10" s="4" t="inlineStr">
        <is>
          <t>Имеется</t>
        </is>
      </c>
      <c r="D10" s="4" t="inlineStr">
        <is>
          <t>Остаток</t>
        </is>
      </c>
      <c r="E10" s="4" t="inlineStr">
        <is>
          <t>Оценка y</t>
        </is>
      </c>
      <c r="F10" s="4" t="inlineStr"/>
      <c r="G10" s="4" t="inlineStr">
        <is>
          <t>Статус</t>
        </is>
      </c>
    </row>
    <row r="11">
      <c r="A11" s="10" t="inlineStr">
        <is>
          <t>Площадь, м²</t>
        </is>
      </c>
      <c r="B11" s="13">
        <f>'Прямая задача'!E9</f>
        <v>450</v>
      </c>
      <c r="C11" s="13">
        <f>'Прямая задача'!G9</f>
        <v>450</v>
      </c>
      <c r="D11" s="13">
        <f>'Прямая задача'!H9</f>
        <v>0</v>
      </c>
      <c r="E11" s="25">
        <f>'Двойственная задача'!B5</f>
        <v>31.6666666666667</v>
      </c>
      <c r="F11" s="7" t="n"/>
      <c r="G11" s="8" t="str">
        <f>IF(E11&gt;0.000001,"дефицитный (y &gt; 0, израсходован весь)","не дефицитный (y = 0, есть запас)")</f>
        <v>дефицитный (y &gt; 0, израсходован весь)</v>
      </c>
    </row>
    <row r="12">
      <c r="A12" s="10" t="inlineStr">
        <is>
          <t>Время, чел.-ч</t>
        </is>
      </c>
      <c r="B12" s="13">
        <f>'Прямая задача'!E10</f>
        <v>600</v>
      </c>
      <c r="C12" s="13">
        <f>'Прямая задача'!G10</f>
        <v>600</v>
      </c>
      <c r="D12" s="13">
        <f>'Прямая задача'!H10</f>
        <v>0</v>
      </c>
      <c r="E12" s="25">
        <f>'Двойственная задача'!C5</f>
        <v>0.833333333333333</v>
      </c>
      <c r="F12" s="7" t="n"/>
      <c r="G12" s="8" t="str">
        <f>IF(E12&gt;0.000001,"дефицитный (y &gt; 0, израсходован весь)","не дефицитный (y = 0, есть запас)")</f>
        <v>дефицитный (y &gt; 0, израсходован весь)</v>
      </c>
    </row>
    <row r="13">
      <c r="A13" s="10" t="inlineStr">
        <is>
          <t>Товарооборот (≥240)</t>
        </is>
      </c>
      <c r="B13" s="13">
        <f>'Прямая задача'!E11</f>
        <v>250</v>
      </c>
      <c r="C13" s="13">
        <f>'Прямая задача'!G11</f>
        <v>240</v>
      </c>
      <c r="D13" s="13">
        <f>'Прямая задача'!H11</f>
        <v>10</v>
      </c>
      <c r="E13" s="25">
        <f>'Двойственная задача'!D5</f>
        <v>0</v>
      </c>
      <c r="F13" s="7" t="n"/>
      <c r="G13" s="8" t="str">
        <f>IF(E13&gt;0.000001,"дефицитный (y &gt; 0, израсходован весь)","не дефицитный (y = 0, есть запас)")</f>
        <v>не дефицитный (y = 0, есть запас)</v>
      </c>
    </row>
    <row r="14">
      <c r="A14" s="10" t="inlineStr">
        <is>
          <t>4в) y* двойственной</t>
        </is>
      </c>
      <c r="B14" s="11" t="n"/>
      <c r="C14" s="5" t="str">
        <f>"y* = ("&amp;ROUND(E11,2)&amp;"; "&amp;ROUND(E12,2)&amp;"; "&amp;ROUND(E13,2)&amp;"; "&amp;ROUND(D5,2)&amp;"; "&amp;ROUND(D6,2)&amp;"; "&amp;ROUND(D7,2)&amp;"),  f min = "&amp;ROUND('Двойственная задача'!F6,2)</f>
        <v>y* = (31.67; 0.83; 0; 0; 0; 26.25),  f min = 14750</v>
      </c>
      <c r="D14" s="11" t="n"/>
      <c r="E14" s="11" t="n"/>
      <c r="F14" s="11" t="n"/>
      <c r="G14" s="11" t="n"/>
    </row>
    <row r="15">
      <c r="A15" s="10" t="inlineStr">
        <is>
          <t>4г) Самый дефицитный</t>
        </is>
      </c>
      <c r="B15" s="11" t="n"/>
      <c r="C15" s="5" t="str">
        <f>INDEX(A11:A13,MATCH(MAX(E11:E13),E11:E13,0))&amp;" — у неё самая большая оценка y = "&amp;ROUND(MAX(E11:E13),2)</f>
        <v>Площадь, м² — у неё самая большая оценка y = 31.67</v>
      </c>
      <c r="D15" s="11" t="n"/>
      <c r="E15" s="11" t="n"/>
      <c r="F15" s="11" t="n"/>
      <c r="G15" s="11" t="n"/>
    </row>
    <row r="17">
      <c r="A17" s="9" t="inlineStr">
        <is>
          <t>4д) Интервалы устойчивости двойственных оценок</t>
        </is>
      </c>
    </row>
    <row r="18">
      <c r="A18" s="4" t="inlineStr">
        <is>
          <t>Ресурс</t>
        </is>
      </c>
      <c r="B18" s="4" t="inlineStr">
        <is>
          <t>Запас b</t>
        </is>
      </c>
      <c r="C18" s="4" t="inlineStr">
        <is>
          <t>Доп. уменьш.</t>
        </is>
      </c>
      <c r="D18" s="4" t="inlineStr">
        <is>
          <t>Доп. увелич.</t>
        </is>
      </c>
      <c r="E18" s="4" t="inlineStr">
        <is>
          <t>От</t>
        </is>
      </c>
      <c r="F18" s="4" t="inlineStr">
        <is>
          <t>До</t>
        </is>
      </c>
      <c r="G18" s="4" t="inlineStr">
        <is>
          <t>Смысл</t>
        </is>
      </c>
    </row>
    <row r="19">
      <c r="A19" s="10" t="inlineStr">
        <is>
          <t>Площадь, м²</t>
        </is>
      </c>
      <c r="B19" s="13">
        <f>Отчёты!D26</f>
        <v>450</v>
      </c>
      <c r="C19" s="13">
        <f>Отчёты!F26</f>
        <v>30</v>
      </c>
      <c r="D19" s="13">
        <f>Отчёты!E26</f>
        <v>150</v>
      </c>
      <c r="E19" s="13">
        <f>B19-C19</f>
        <v>420</v>
      </c>
      <c r="F19" s="13">
        <f>B19+D19</f>
        <v>600</v>
      </c>
      <c r="G19" s="8" t="str">
        <f>"в этих пределах y = "&amp;ROUND(Отчёты!C26,2)</f>
        <v>в этих пределах y = 31.67</v>
      </c>
    </row>
    <row r="20">
      <c r="A20" s="10" t="inlineStr">
        <is>
          <t>Время, чел.-ч</t>
        </is>
      </c>
      <c r="B20" s="13">
        <f>Отчёты!D27</f>
        <v>600</v>
      </c>
      <c r="C20" s="13">
        <f>Отчёты!F27</f>
        <v>60</v>
      </c>
      <c r="D20" s="13">
        <f>Отчёты!E27</f>
        <v>300</v>
      </c>
      <c r="E20" s="13">
        <f>B20-C20</f>
        <v>540</v>
      </c>
      <c r="F20" s="13">
        <f>B20+D20</f>
        <v>900</v>
      </c>
      <c r="G20" s="8" t="str">
        <f>"в этих пределах y = "&amp;ROUND(Отчёты!C27,2)</f>
        <v>в этих пределах y = 0.83</v>
      </c>
    </row>
    <row r="21">
      <c r="A21" s="10" t="inlineStr">
        <is>
          <t>Товарооборот</t>
        </is>
      </c>
      <c r="B21" s="13">
        <f>Отчёты!D28</f>
        <v>240</v>
      </c>
      <c r="C21" s="7" t="inlineStr">
        <is>
          <t>∞</t>
        </is>
      </c>
      <c r="D21" s="13">
        <f>Отчёты!E28</f>
        <v>10</v>
      </c>
      <c r="E21" s="13" t="n">
        <v>0</v>
      </c>
      <c r="F21" s="13">
        <f>B21+D21</f>
        <v>250</v>
      </c>
      <c r="G21" s="8" t="inlineStr">
        <is>
          <t>y3 = 0, пока требование не больше 250</t>
        </is>
      </c>
    </row>
    <row r="23">
      <c r="A23" s="9" t="inlineStr">
        <is>
          <t>6) Как изменится план и прибыль, если ресурса станет на 1 больше</t>
        </is>
      </c>
    </row>
    <row r="24" ht="30" customHeight="1">
      <c r="A24" s="2" t="inlineStr">
        <is>
          <t>Изменения плана берутся из столбцов x4 (площадь) и x5 (время) последней симплекс-таблицы, изменение прибыли = двойственная оценка y. Товарооборот (≥ 240) не дефицитный: y3 = 0, план не меняется.</t>
        </is>
      </c>
    </row>
    <row r="25">
      <c r="A25" s="4" t="inlineStr">
        <is>
          <t>Ресурс +1</t>
        </is>
      </c>
      <c r="B25" s="4" t="inlineStr">
        <is>
          <t>Δx1</t>
        </is>
      </c>
      <c r="C25" s="4" t="inlineStr">
        <is>
          <t>Δx2</t>
        </is>
      </c>
      <c r="D25" s="4" t="inlineStr">
        <is>
          <t>Δx3</t>
        </is>
      </c>
      <c r="E25" s="4" t="inlineStr">
        <is>
          <t>ΔZ</t>
        </is>
      </c>
      <c r="F25" s="4" t="inlineStr">
        <is>
          <t>Новая Z</t>
        </is>
      </c>
      <c r="G25" s="4" t="inlineStr">
        <is>
          <t>Проверка: Z по новому плану</t>
        </is>
      </c>
    </row>
    <row r="26">
      <c r="A26" s="10" t="inlineStr">
        <is>
          <t>Площадь +1 м²</t>
        </is>
      </c>
      <c r="B26" s="13">
        <f>'Симплекс-метод'!H29</f>
        <v>-0.666666666666667</v>
      </c>
      <c r="C26" s="13">
        <f>'Симплекс-метод'!H28</f>
        <v>1</v>
      </c>
      <c r="D26" s="13" t="n">
        <v>0</v>
      </c>
      <c r="E26" s="13">
        <f>E11</f>
        <v>31.6666666666667</v>
      </c>
      <c r="F26" s="13">
        <f>'Прямая задача'!F6+E26</f>
        <v>14781.6666666667</v>
      </c>
      <c r="G26" s="13">
        <f>SUMPRODUCT('Прямая задача'!B5:D5+B26:D26,'Прямая задача'!B6:D6)</f>
        <v>14781.6666666667</v>
      </c>
    </row>
    <row r="27">
      <c r="A27" s="10" t="inlineStr">
        <is>
          <t>Время +1 чел.-ч</t>
        </is>
      </c>
      <c r="B27" s="13">
        <f>'Симплекс-метод'!I29</f>
        <v>0.666666666666667</v>
      </c>
      <c r="C27" s="13">
        <f>'Симплекс-метод'!I28</f>
        <v>-0.5</v>
      </c>
      <c r="D27" s="13" t="n">
        <v>0</v>
      </c>
      <c r="E27" s="13">
        <f>E12</f>
        <v>0.833333333333333</v>
      </c>
      <c r="F27" s="13">
        <f>'Прямая задача'!F6+E27</f>
        <v>14750.8333333333</v>
      </c>
      <c r="G27" s="13">
        <f>SUMPRODUCT('Прямая задача'!B5:D5+B27:D27,'Прямая задача'!B6:D6)</f>
        <v>14750.8333333333</v>
      </c>
    </row>
    <row r="28">
      <c r="A28" s="10" t="inlineStr">
        <is>
          <t>Товарооборот +1 тыс. р.</t>
        </is>
      </c>
      <c r="B28" s="13" t="n">
        <v>0</v>
      </c>
      <c r="C28" s="13" t="n">
        <v>0</v>
      </c>
      <c r="D28" s="13" t="n">
        <v>0</v>
      </c>
      <c r="E28" s="13">
        <f>E13</f>
        <v>0</v>
      </c>
      <c r="F28" s="13">
        <f>'Прямая задача'!F6+E28</f>
        <v>14750</v>
      </c>
      <c r="G28" s="13">
        <f>SUMPRODUCT('Прямая задача'!B5:D5+B28:D28,'Прямая задача'!B6:D6)</f>
        <v>14750</v>
      </c>
    </row>
    <row r="29" ht="18" customHeight="1">
      <c r="A29" s="17" t="inlineStr">
        <is>
          <t>Суммарно (все сразу)</t>
        </is>
      </c>
      <c r="B29" s="15">
        <f>SUM(B26:B28)</f>
        <v>0</v>
      </c>
      <c r="C29" s="15">
        <f>SUM(C26:C28)</f>
        <v>0.5</v>
      </c>
      <c r="D29" s="15">
        <f>SUM(D26:D28)</f>
        <v>0</v>
      </c>
      <c r="E29" s="15">
        <f>SUM(E26:E28)</f>
        <v>32.5</v>
      </c>
      <c r="F29" s="15">
        <f>'Прямая задача'!F6+E29</f>
        <v>14782.5</v>
      </c>
      <c r="G29" s="15">
        <f>SUMPRODUCT('Прямая задача'!B5:D5+B29:D29,'Прямая задача'!B6:D6)</f>
        <v>14782.5</v>
      </c>
    </row>
    <row r="31">
      <c r="A31" s="9" t="inlineStr">
        <is>
          <t>Коэффициенты взаимозаменяемости ресурсов  k = y(i) / y(k)</t>
        </is>
      </c>
    </row>
    <row r="32" ht="30" customHeight="1">
      <c r="A32" s="2" t="inlineStr">
        <is>
          <t>Число в строке k и столбце i — сколько единиц ресурса k нужно добавить, чтобы прибыль не изменилась при уменьшении ресурса i на 1. Например, строка 2, столбец 1: потерю 1 м² площади компенсируют 38 чел.-ч рабочего времени. ∞ — компенсировать нельзя.</t>
        </is>
      </c>
    </row>
    <row r="33">
      <c r="A33" s="4" t="inlineStr">
        <is>
          <t>k \ i</t>
        </is>
      </c>
      <c r="B33" s="4" t="inlineStr">
        <is>
          <t>1 (площадь)</t>
        </is>
      </c>
      <c r="C33" s="4" t="inlineStr">
        <is>
          <t>2 (время)</t>
        </is>
      </c>
      <c r="D33" s="4" t="inlineStr">
        <is>
          <t>3 (товарооб.)</t>
        </is>
      </c>
    </row>
    <row r="34">
      <c r="A34" s="10" t="inlineStr">
        <is>
          <t>1 (площадь)</t>
        </is>
      </c>
      <c r="B34" s="13" t="n">
        <v>1</v>
      </c>
      <c r="C34" s="13">
        <f>IF(E11=0,"∞",E12/E11)</f>
        <v>0.0263157894736842</v>
      </c>
      <c r="D34" s="13">
        <f>IF(E11=0,"∞",E13/E11)</f>
        <v>0</v>
      </c>
    </row>
    <row r="35">
      <c r="A35" s="10" t="inlineStr">
        <is>
          <t>2 (время)</t>
        </is>
      </c>
      <c r="B35" s="13">
        <f>IF(E12=0,"∞",E11/E12)</f>
        <v>38</v>
      </c>
      <c r="C35" s="13" t="n">
        <v>1</v>
      </c>
      <c r="D35" s="13">
        <f>IF(E12=0,"∞",E13/E12)</f>
        <v>0</v>
      </c>
    </row>
    <row r="36">
      <c r="A36" s="10" t="inlineStr">
        <is>
          <t>3 (товарооб.)</t>
        </is>
      </c>
      <c r="B36" s="13" t="str">
        <f>IF(E13=0,"∞",E11/E13)</f>
        <v>∞</v>
      </c>
      <c r="C36" s="13" t="str">
        <f>IF(E13=0,"∞",E12/E13)</f>
        <v>∞</v>
      </c>
      <c r="D36" s="13" t="n">
        <v>1</v>
      </c>
    </row>
  </sheetData>
  <mergeCells count="12">
    <mergeCell ref="A32:G32"/>
    <mergeCell ref="A1:G1"/>
    <mergeCell ref="A15:B15"/>
    <mergeCell ref="A9:G9"/>
    <mergeCell ref="A17:G17"/>
    <mergeCell ref="A31:G31"/>
    <mergeCell ref="A3:G3"/>
    <mergeCell ref="C15:G15"/>
    <mergeCell ref="A24:G24"/>
    <mergeCell ref="A14:B14"/>
    <mergeCell ref="C14:G14"/>
    <mergeCell ref="A23:G2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2026-10-11T13:12:54Z</dcterms:created>
  <dcterms:modified xmlns:dcterms="http://purl.org/dc/terms/" xmlns:xsi="http://www.w3.org/2001/XMLSchema-instance" xsi:type="dcterms:W3CDTF">2026-10-11T13:12:54Z</dcterms:modified>
</cp:coreProperties>
</file>