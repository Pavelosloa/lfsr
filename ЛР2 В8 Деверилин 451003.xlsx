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ali\Desktop\labs\matprog\lab2\"/>
    </mc:Choice>
  </mc:AlternateContent>
  <xr:revisionPtr revIDLastSave="0" documentId="8_{C7F041CA-DDCB-45CD-B3D6-5AB1190FDC0F}" xr6:coauthVersionLast="47" xr6:coauthVersionMax="47" xr10:uidLastSave="{00000000-0000-0000-0000-000000000000}"/>
  <bookViews>
    <workbookView xWindow="-118" yWindow="-118" windowWidth="25370" windowHeight="14374" tabRatio="802" firstSheet="3" activeTab="9" xr2:uid="{00000000-000D-0000-FFFF-FFFF00000000}"/>
  </bookViews>
  <sheets>
    <sheet name="Условие" sheetId="1" r:id="rId1"/>
    <sheet name="Отчет о результатах 1" sheetId="7" r:id="rId2"/>
    <sheet name="Отчет об устойчивости 1" sheetId="8" r:id="rId3"/>
    <sheet name="Отчет о пределах 1" sheetId="9" r:id="rId4"/>
    <sheet name="Прямая задача" sheetId="2" r:id="rId5"/>
    <sheet name="Симплекс-метод" sheetId="3" r:id="rId6"/>
    <sheet name="Отчет о результатах 2" sheetId="10" r:id="rId7"/>
    <sheet name="Отчет об устойчивости 2" sheetId="11" r:id="rId8"/>
    <sheet name="Отчет о пределах 2" sheetId="12" r:id="rId9"/>
    <sheet name="Двойственная задача" sheetId="4" r:id="rId10"/>
  </sheets>
  <definedNames>
    <definedName name="solver_adj" localSheetId="9" hidden="1">'Двойственная задача'!$B$5:$D$5</definedName>
    <definedName name="solver_adj" localSheetId="4" hidden="1">'Прямая задача'!$B$5:$D$5</definedName>
    <definedName name="solver_cvg" localSheetId="9" hidden="1">0.0001</definedName>
    <definedName name="solver_cvg" localSheetId="4" hidden="1">0.0001</definedName>
    <definedName name="solver_drv" localSheetId="9" hidden="1">1</definedName>
    <definedName name="solver_drv" localSheetId="4" hidden="1">1</definedName>
    <definedName name="solver_eng" localSheetId="9" hidden="1">2</definedName>
    <definedName name="solver_eng" localSheetId="4" hidden="1">2</definedName>
    <definedName name="solver_est" localSheetId="9" hidden="1">1</definedName>
    <definedName name="solver_est" localSheetId="4" hidden="1">1</definedName>
    <definedName name="solver_itr" localSheetId="9" hidden="1">2147483647</definedName>
    <definedName name="solver_itr" localSheetId="4" hidden="1">2147483647</definedName>
    <definedName name="solver_lhs1" localSheetId="9" hidden="1">'Двойственная задача'!$E$9:$E$11</definedName>
    <definedName name="solver_lhs1" localSheetId="4" hidden="1">'Прямая задача'!$E$9:$E$10</definedName>
    <definedName name="solver_lhs2" localSheetId="4" hidden="1">'Прямая задача'!$E$11</definedName>
    <definedName name="solver_lin" localSheetId="9" hidden="1">1</definedName>
    <definedName name="solver_lin" localSheetId="4" hidden="1">1</definedName>
    <definedName name="solver_mip" localSheetId="9" hidden="1">2147483647</definedName>
    <definedName name="solver_mip" localSheetId="4" hidden="1">2147483647</definedName>
    <definedName name="solver_mni" localSheetId="9" hidden="1">30</definedName>
    <definedName name="solver_mni" localSheetId="4" hidden="1">30</definedName>
    <definedName name="solver_mrt" localSheetId="9" hidden="1">0.075</definedName>
    <definedName name="solver_mrt" localSheetId="4" hidden="1">0.075</definedName>
    <definedName name="solver_msl" localSheetId="9" hidden="1">2</definedName>
    <definedName name="solver_msl" localSheetId="4" hidden="1">2</definedName>
    <definedName name="solver_neg" localSheetId="9" hidden="1">1</definedName>
    <definedName name="solver_neg" localSheetId="4" hidden="1">1</definedName>
    <definedName name="solver_nod" localSheetId="9" hidden="1">2147483647</definedName>
    <definedName name="solver_nod" localSheetId="4" hidden="1">2147483647</definedName>
    <definedName name="solver_num" localSheetId="9" hidden="1">1</definedName>
    <definedName name="solver_num" localSheetId="4" hidden="1">2</definedName>
    <definedName name="solver_nwt" localSheetId="9" hidden="1">1</definedName>
    <definedName name="solver_nwt" localSheetId="4" hidden="1">1</definedName>
    <definedName name="solver_opt" localSheetId="9" hidden="1">'Двойственная задача'!$F$6</definedName>
    <definedName name="solver_opt" localSheetId="4" hidden="1">'Прямая задача'!$F$6</definedName>
    <definedName name="solver_pre" localSheetId="9" hidden="1">0.000001</definedName>
    <definedName name="solver_pre" localSheetId="4" hidden="1">0.000001</definedName>
    <definedName name="solver_rbv" localSheetId="9" hidden="1">1</definedName>
    <definedName name="solver_rbv" localSheetId="4" hidden="1">1</definedName>
    <definedName name="solver_rel1" localSheetId="9" hidden="1">3</definedName>
    <definedName name="solver_rel1" localSheetId="4" hidden="1">1</definedName>
    <definedName name="solver_rel2" localSheetId="4" hidden="1">3</definedName>
    <definedName name="solver_rhs1" localSheetId="9" hidden="1">'Двойственная задача'!$G$9:$G$11</definedName>
    <definedName name="solver_rhs1" localSheetId="4" hidden="1">'Прямая задача'!$G$9:$G$10</definedName>
    <definedName name="solver_rhs2" localSheetId="4" hidden="1">'Прямая задача'!$G$11</definedName>
    <definedName name="solver_rlx" localSheetId="9" hidden="1">2</definedName>
    <definedName name="solver_rlx" localSheetId="4" hidden="1">2</definedName>
    <definedName name="solver_rsd" localSheetId="9" hidden="1">0</definedName>
    <definedName name="solver_rsd" localSheetId="4" hidden="1">0</definedName>
    <definedName name="solver_scl" localSheetId="9" hidden="1">1</definedName>
    <definedName name="solver_scl" localSheetId="4" hidden="1">1</definedName>
    <definedName name="solver_sho" localSheetId="9" hidden="1">2</definedName>
    <definedName name="solver_sho" localSheetId="3" hidden="1">2</definedName>
    <definedName name="solver_sho" localSheetId="8" hidden="1">2</definedName>
    <definedName name="solver_sho" localSheetId="4" hidden="1">2</definedName>
    <definedName name="solver_ssz" localSheetId="9" hidden="1">100</definedName>
    <definedName name="solver_ssz" localSheetId="4" hidden="1">100</definedName>
    <definedName name="solver_tim" localSheetId="9" hidden="1">2147483647</definedName>
    <definedName name="solver_tim" localSheetId="4" hidden="1">2147483647</definedName>
    <definedName name="solver_tol" localSheetId="9" hidden="1">0.01</definedName>
    <definedName name="solver_tol" localSheetId="4" hidden="1">0.01</definedName>
    <definedName name="solver_typ" localSheetId="9" hidden="1">2</definedName>
    <definedName name="solver_typ" localSheetId="4" hidden="1">1</definedName>
    <definedName name="solver_val" localSheetId="9" hidden="1">0</definedName>
    <definedName name="solver_val" localSheetId="4" hidden="1">0</definedName>
    <definedName name="solver_ver" localSheetId="9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4" l="1"/>
  <c r="E34" i="3"/>
  <c r="J22" i="3"/>
  <c r="J21" i="3"/>
  <c r="J15" i="3"/>
  <c r="J14" i="3"/>
  <c r="J8" i="3"/>
  <c r="J7" i="3"/>
  <c r="I10" i="2"/>
  <c r="I9" i="2"/>
  <c r="B16" i="4"/>
  <c r="E39" i="3"/>
  <c r="G11" i="4"/>
  <c r="D11" i="4"/>
  <c r="C11" i="4"/>
  <c r="B11" i="4"/>
  <c r="E11" i="4" s="1"/>
  <c r="H11" i="4" s="1"/>
  <c r="I11" i="4" s="1"/>
  <c r="G10" i="4"/>
  <c r="E10" i="4"/>
  <c r="H10" i="4" s="1"/>
  <c r="I10" i="4" s="1"/>
  <c r="D10" i="4"/>
  <c r="C10" i="4"/>
  <c r="B10" i="4"/>
  <c r="G9" i="4"/>
  <c r="E9" i="4"/>
  <c r="H9" i="4" s="1"/>
  <c r="I9" i="4" s="1"/>
  <c r="D9" i="4"/>
  <c r="C9" i="4"/>
  <c r="B9" i="4"/>
  <c r="F6" i="4"/>
  <c r="B15" i="4" s="1"/>
  <c r="D6" i="4"/>
  <c r="C6" i="4"/>
  <c r="B6" i="4"/>
  <c r="C28" i="3"/>
  <c r="I27" i="3"/>
  <c r="H27" i="3"/>
  <c r="G27" i="3"/>
  <c r="C22" i="3"/>
  <c r="C21" i="3"/>
  <c r="I20" i="3"/>
  <c r="H20" i="3"/>
  <c r="C15" i="3"/>
  <c r="I14" i="3"/>
  <c r="I21" i="3" s="1"/>
  <c r="G14" i="3"/>
  <c r="F14" i="3"/>
  <c r="G21" i="3" s="1"/>
  <c r="I13" i="3"/>
  <c r="H13" i="3"/>
  <c r="F13" i="3"/>
  <c r="I9" i="3"/>
  <c r="G8" i="3"/>
  <c r="I15" i="3" s="1"/>
  <c r="F8" i="3"/>
  <c r="E8" i="3"/>
  <c r="D8" i="3"/>
  <c r="C8" i="3"/>
  <c r="E9" i="3" s="1"/>
  <c r="G7" i="3"/>
  <c r="H14" i="3" s="1"/>
  <c r="H21" i="3" s="1"/>
  <c r="F7" i="3"/>
  <c r="E7" i="3"/>
  <c r="E14" i="3" s="1"/>
  <c r="D7" i="3"/>
  <c r="D14" i="3" s="1"/>
  <c r="C7" i="3"/>
  <c r="H9" i="3" s="1"/>
  <c r="G6" i="3"/>
  <c r="C14" i="3" s="1"/>
  <c r="F6" i="3"/>
  <c r="F27" i="3" s="1"/>
  <c r="E6" i="3"/>
  <c r="E27" i="3" s="1"/>
  <c r="G11" i="2"/>
  <c r="D11" i="2"/>
  <c r="C11" i="2"/>
  <c r="B11" i="2"/>
  <c r="E11" i="2" s="1"/>
  <c r="G10" i="2"/>
  <c r="E10" i="2"/>
  <c r="D10" i="2"/>
  <c r="C10" i="2"/>
  <c r="B10" i="2"/>
  <c r="G9" i="2"/>
  <c r="E9" i="2"/>
  <c r="D9" i="2"/>
  <c r="C9" i="2"/>
  <c r="B9" i="2"/>
  <c r="F6" i="2"/>
  <c r="D6" i="2"/>
  <c r="C6" i="2"/>
  <c r="B6" i="2"/>
  <c r="D21" i="3" l="1"/>
  <c r="E21" i="3"/>
  <c r="F16" i="3"/>
  <c r="I16" i="3"/>
  <c r="D15" i="3"/>
  <c r="D22" i="3" s="1"/>
  <c r="G23" i="3"/>
  <c r="H11" i="2"/>
  <c r="H9" i="2"/>
  <c r="B13" i="2"/>
  <c r="D9" i="3"/>
  <c r="E20" i="3"/>
  <c r="F9" i="3"/>
  <c r="F20" i="3"/>
  <c r="G9" i="3"/>
  <c r="G20" i="3"/>
  <c r="B14" i="4"/>
  <c r="E13" i="3"/>
  <c r="E16" i="3" s="1"/>
  <c r="F15" i="3"/>
  <c r="G15" i="3"/>
  <c r="G22" i="3" s="1"/>
  <c r="G13" i="3"/>
  <c r="G16" i="3" s="1"/>
  <c r="H15" i="3"/>
  <c r="H22" i="3" s="1"/>
  <c r="C29" i="3"/>
  <c r="E15" i="3"/>
  <c r="H10" i="2"/>
  <c r="F21" i="3"/>
  <c r="F22" i="3" l="1"/>
  <c r="H16" i="3"/>
  <c r="H23" i="3"/>
  <c r="D23" i="3"/>
  <c r="I22" i="3"/>
  <c r="I11" i="2"/>
  <c r="E22" i="3"/>
  <c r="D16" i="3"/>
  <c r="I29" i="3" l="1"/>
  <c r="I23" i="3"/>
  <c r="E29" i="3"/>
  <c r="E28" i="3" s="1"/>
  <c r="E30" i="3" s="1"/>
  <c r="E23" i="3"/>
  <c r="D29" i="3"/>
  <c r="H29" i="3"/>
  <c r="F29" i="3"/>
  <c r="F28" i="3" s="1"/>
  <c r="F30" i="3" s="1"/>
  <c r="F23" i="3"/>
  <c r="G29" i="3"/>
  <c r="G28" i="3" s="1"/>
  <c r="G30" i="3" s="1"/>
  <c r="H28" i="3" l="1"/>
  <c r="E35" i="3"/>
  <c r="D28" i="3"/>
  <c r="I28" i="3"/>
  <c r="I30" i="3" l="1"/>
  <c r="E40" i="3"/>
  <c r="E36" i="3"/>
  <c r="D30" i="3"/>
  <c r="E38" i="3" s="1"/>
  <c r="H30" i="3"/>
  <c r="E41" i="3" l="1"/>
</calcChain>
</file>

<file path=xl/sharedStrings.xml><?xml version="1.0" encoding="utf-8"?>
<sst xmlns="http://schemas.openxmlformats.org/spreadsheetml/2006/main" count="423" uniqueCount="181">
  <si>
    <t>Лабораторная работа №2. Задачи линейного программирования. Вариант 8</t>
  </si>
  <si>
    <t>Магазин оптовой торговли продаёт товары П1, П2, П3. Ограничены полезная площадь (450 м²) и рабочее время (600 чел.-ч). Товарооборот должен быть не меньше 240 тыс. р. Нужно найти план товарооборота с максимальной прибылью.</t>
  </si>
  <si>
    <t>Показатель</t>
  </si>
  <si>
    <t>П1</t>
  </si>
  <si>
    <t>П2</t>
  </si>
  <si>
    <t>П3</t>
  </si>
  <si>
    <t>Знак</t>
  </si>
  <si>
    <t>Объём ресурса</t>
  </si>
  <si>
    <t>Пояснение</t>
  </si>
  <si>
    <t>Полезная площадь, м²</t>
  </si>
  <si>
    <t>≤</t>
  </si>
  <si>
    <t>затраты площади на 1 тыс. р. товарооборота</t>
  </si>
  <si>
    <t>Рабочее время, чел.-ч</t>
  </si>
  <si>
    <t>затраты времени на 1 тыс. р. товарооборота</t>
  </si>
  <si>
    <t>Товарооборот, тыс. р.</t>
  </si>
  <si>
    <t>≥</t>
  </si>
  <si>
    <t>Прибыль, ден. ед.</t>
  </si>
  <si>
    <t>→ max</t>
  </si>
  <si>
    <t>прибыль с 1 тыс. р. товарооборота</t>
  </si>
  <si>
    <t>1. Математическая модель прямой задачи</t>
  </si>
  <si>
    <t>Переменные</t>
  </si>
  <si>
    <t>Целевая функция</t>
  </si>
  <si>
    <t>Z = 50·x1 + 65·x2 + 70·x3 → max   (суммарная прибыль)</t>
  </si>
  <si>
    <t>Ограничение 1</t>
  </si>
  <si>
    <t>1,5·x1 + 2·x2 + 3·x3 ≤ 450   (площади нужно не больше, чем есть)</t>
  </si>
  <si>
    <t>Ограничение 2</t>
  </si>
  <si>
    <t>3·x1 + 2·x2 + 1,5·x3 ≤ 600   (рабочего времени нужно не больше, чем есть)</t>
  </si>
  <si>
    <t>Ограничение 3</t>
  </si>
  <si>
    <t>x1 + x2 + x3 ≥ 240   (товарооборот не меньше 240 тыс. р.)</t>
  </si>
  <si>
    <t>Неотрицательность</t>
  </si>
  <si>
    <t>x1 ≥ 0, x2 ≥ 0, x3 ≥ 0   (продать «минус» товар нельзя)</t>
  </si>
  <si>
    <t>2. Математическая модель двойственной задачи</t>
  </si>
  <si>
    <t>Для задачи на max все ограничения приводят к виду «≤». Третье умножаем на −1: −x1 − x2 − x3 ≤ −240. Каждому ограничению прямой задачи соответствует своя двойственная переменная (оценка ресурса).</t>
  </si>
  <si>
    <t>f = 450·y1 + 600·y2 − 240·y3 → min   (суммарная оценка всех ресурсов)</t>
  </si>
  <si>
    <t>Ограничение П1</t>
  </si>
  <si>
    <t>1,5·y1 + 3·y2 − y3 ≥ 50</t>
  </si>
  <si>
    <t>Ограничение П2</t>
  </si>
  <si>
    <t>2·y1 + 2·y2 − y3 ≥ 65</t>
  </si>
  <si>
    <t>Ограничение П3</t>
  </si>
  <si>
    <t>3·y1 + 1,5·y2 − y3 ≥ 70</t>
  </si>
  <si>
    <t>Смысл ограничений</t>
  </si>
  <si>
    <t>ресурсы, потраченные на 1 тыс. р. товара, «стоят» не меньше прибыли от него</t>
  </si>
  <si>
    <t>y1 ≥ 0, y2 ≥ 0, y3 ≥ 0</t>
  </si>
  <si>
    <t>Прямая задача: решение с помощью «Поиск решения»</t>
  </si>
  <si>
    <t>Переменная</t>
  </si>
  <si>
    <t>x1 (П1)</t>
  </si>
  <si>
    <t>x2 (П2)</t>
  </si>
  <si>
    <t>x3 (П3)</t>
  </si>
  <si>
    <t>План, тыс. р. товарооборота</t>
  </si>
  <si>
    <t>Прибыль с 1 тыс. р.</t>
  </si>
  <si>
    <t>Z =</t>
  </si>
  <si>
    <t>Ограничение</t>
  </si>
  <si>
    <t>x1</t>
  </si>
  <si>
    <t>x2</t>
  </si>
  <si>
    <t>x3</t>
  </si>
  <si>
    <t>Левая часть</t>
  </si>
  <si>
    <t>Правая часть</t>
  </si>
  <si>
    <t>Остаток</t>
  </si>
  <si>
    <t>Вывод</t>
  </si>
  <si>
    <t>Площадь, м²</t>
  </si>
  <si>
    <t>&lt;=</t>
  </si>
  <si>
    <t>&gt;=</t>
  </si>
  <si>
    <t>Итог</t>
  </si>
  <si>
    <t>Итер.</t>
  </si>
  <si>
    <t>Базис</t>
  </si>
  <si>
    <t>Cб</t>
  </si>
  <si>
    <t>b</t>
  </si>
  <si>
    <t>x4</t>
  </si>
  <si>
    <t>x5</t>
  </si>
  <si>
    <t>b / a</t>
  </si>
  <si>
    <t>cj →</t>
  </si>
  <si>
    <t>Δ</t>
  </si>
  <si>
    <t>соответствует →</t>
  </si>
  <si>
    <t>y4</t>
  </si>
  <si>
    <t>y5</t>
  </si>
  <si>
    <t>y6</t>
  </si>
  <si>
    <t>y1</t>
  </si>
  <si>
    <t>y2</t>
  </si>
  <si>
    <t>Итог симплекс-метода</t>
  </si>
  <si>
    <t>Все Δj ≥ 0?</t>
  </si>
  <si>
    <t>x1 (П1), тыс. р.</t>
  </si>
  <si>
    <t>x2 (П2), тыс. р.</t>
  </si>
  <si>
    <t>x3 (П3), тыс. р.</t>
  </si>
  <si>
    <t>Z max, ден. ед.</t>
  </si>
  <si>
    <t>Проверка товарооборота</t>
  </si>
  <si>
    <t>y* (y1; y2; y3)</t>
  </si>
  <si>
    <t>Двойственная задача: решение с помощью «Поиск решения»</t>
  </si>
  <si>
    <t>y1 (площадь)</t>
  </si>
  <si>
    <t>y2 (время)</t>
  </si>
  <si>
    <t>y3 (товарооб.)</t>
  </si>
  <si>
    <t>Оценка, ден. ед. за единицу</t>
  </si>
  <si>
    <t>Коэффициенты f</t>
  </si>
  <si>
    <t>f =</t>
  </si>
  <si>
    <t>→ min</t>
  </si>
  <si>
    <t>Ограничение (товар)</t>
  </si>
  <si>
    <t>y3</t>
  </si>
  <si>
    <t>Разница</t>
  </si>
  <si>
    <t>Сравнение с прямой задачей (1-я теорема двойственности)</t>
  </si>
  <si>
    <t>Z max прямой задачи</t>
  </si>
  <si>
    <t>f min двойственной задачи</t>
  </si>
  <si>
    <t>Совпадают?</t>
  </si>
  <si>
    <t>y1, y2 из симплекс-таблицы</t>
  </si>
  <si>
    <t>Формула</t>
  </si>
  <si>
    <t>Состояние</t>
  </si>
  <si>
    <t>Допуск</t>
  </si>
  <si>
    <t>Привязка</t>
  </si>
  <si>
    <t>Без привязки</t>
  </si>
  <si>
    <t>Значение</t>
  </si>
  <si>
    <t>#Н/Д</t>
  </si>
  <si>
    <t>Microsoft Excel 16.0 Отчет о результатах</t>
  </si>
  <si>
    <t>Лист: [ЛР2 В8 Деверилин 451003.xlsx]Прямая задача</t>
  </si>
  <si>
    <t>Отчет создан: 11/10/2026 16:56:18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</si>
  <si>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</si>
  <si>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</si>
  <si>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</si>
  <si>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0.015 секунд.</t>
  </si>
  <si>
    <t>Число итераций: 4 Число подзадач: 0</t>
  </si>
  <si>
    <t>Параметры поиска решения</t>
  </si>
  <si>
    <t>Максимальное время Без пределов,  Число итераций Без пределов, Precision 0.000001,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</si>
  <si>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</si>
  <si>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</si>
  <si>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</si>
  <si>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</si>
  <si>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</si>
  <si>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</si>
  <si>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</si>
  <si>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</si>
  <si>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</si>
  <si>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</si>
  <si>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$F$6</t>
  </si>
  <si>
    <t>$B$5</t>
  </si>
  <si>
    <t>План, тыс. р. товарооборота x1 (П1)</t>
  </si>
  <si>
    <t>Продолжить</t>
  </si>
  <si>
    <t>$C$5</t>
  </si>
  <si>
    <t>План, тыс. р. товарооборота x2 (П2)</t>
  </si>
  <si>
    <t>$D$5</t>
  </si>
  <si>
    <t>План, тыс. р. товарооборота x3 (П3)</t>
  </si>
  <si>
    <t>$E$9</t>
  </si>
  <si>
    <t>Площадь, м² Левая часть</t>
  </si>
  <si>
    <t>$E$9&lt;=$G$9</t>
  </si>
  <si>
    <t>$E$10</t>
  </si>
  <si>
    <t>Рабочее время, чел.-ч Левая часть</t>
  </si>
  <si>
    <t>$E$10&lt;=$G$10</t>
  </si>
  <si>
    <t>$E$11</t>
  </si>
  <si>
    <t>Товарооборот, тыс. р. Левая часть</t>
  </si>
  <si>
    <t>$E$11&gt;=$G$11</t>
  </si>
  <si>
    <t>Microsoft Excel 16.0 Отчет об устойчивости</t>
  </si>
  <si>
    <t>Окончательное</t>
  </si>
  <si>
    <t>Приведенн.</t>
  </si>
  <si>
    <t>Стоимость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</si>
  <si>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</si>
  <si>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</si>
  <si>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</si>
  <si>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</si>
  <si>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</si>
  <si>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</si>
  <si>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Правая сторона</t>
  </si>
  <si>
    <t>Microsoft Excel 16.0 Отчет о пределах</t>
  </si>
  <si>
    <t>Нижний</t>
  </si>
  <si>
    <t>Предел</t>
  </si>
  <si>
    <t>Результат</t>
  </si>
  <si>
    <t>Верхний</t>
  </si>
  <si>
    <t>Лист: [ЛР2 В8 Деверилин 451003.xlsx]Двойственная задача</t>
  </si>
  <si>
    <t>Отчет создан: 11/10/2026 16:58:08</t>
  </si>
  <si>
    <t>Время решения: 0.016 секунд.</t>
  </si>
  <si>
    <t>Ячейка целевой функции (Минимум)</t>
  </si>
  <si>
    <t>Оценка, ден. ед. за единицу y1 (площадь)</t>
  </si>
  <si>
    <t>Оценка, ден. ед. за единицу y2 (время)</t>
  </si>
  <si>
    <t>Оценка, ден. ед. за единицу y3 (товарооб.)</t>
  </si>
  <si>
    <t>П1 Левая часть</t>
  </si>
  <si>
    <t>$E$9&gt;=$G$9</t>
  </si>
  <si>
    <t>П2 Левая часть</t>
  </si>
  <si>
    <t>$E$10&gt;=$G$10</t>
  </si>
  <si>
    <t>П3 Левая часть</t>
  </si>
  <si>
    <t>Допущение: в задаче затраты и прибыль заданы на 1 тыс. р. товарооборота (так в первоисточнике задачи), поэтому переменная xj - это товарооборот товара Пj в тыс. р., а весь товарооборот = x1 + x2 + x3.</t>
  </si>
  <si>
    <t>x1, x2, x3 - сколько тыс. р. товарооборота запланировать по товарам П1, П2, П3.</t>
  </si>
  <si>
    <t>каждая единица плана - это 1 тыс. р. товарооборота</t>
  </si>
  <si>
    <t>y1 - оценка 1 м² площади, y2 - оценка 1 чел.-ч, y3 - оценка требования по товарообороту (ден. ед.).</t>
  </si>
  <si>
    <t>Симплекс-метод (ручной расчёт, все числа - формулы)</t>
  </si>
  <si>
    <t>-</t>
  </si>
  <si>
    <t>x6 - превышение 240, тыс.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</si>
</sst>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4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0" borderId="6" xfId="0" applyFill="1" applyBorder="1" applyAlignment="1"/>
    <xf numFmtId="0" fontId="7" fillId="0" borderId="5" xfId="0" applyFont="1" applyFill="1" applyBorder="1" applyAlignment="1">
      <alignment horizontal="center"/>
    </xf>
    <xf numFmtId="0" fontId="0" fillId="0" borderId="7" xfId="0" applyFill="1" applyBorder="1" applyAlignment="1"/>
    <xf numFmtId="164" fontId="0" fillId="0" borderId="6" xfId="0" applyNumberFormat="1" applyFill="1" applyBorder="1" applyAlignment="1"/>
    <xf numFmtId="164" fontId="0" fillId="0" borderId="7" xfId="0" applyNumberFormat="1" applyFill="1" applyBorder="1" applyAlignment="1"/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opLeftCell="A7" workbookViewId="0">
      <selection activeCell="E41" sqref="E41"/>
    </sheetView>
  </sheetViews>
  <sheetFormatPr defaultRowHeight="15.05" x14ac:dyDescent="0.3"/>
  <cols>
    <col min="1" max="1" width="30" customWidth="1"/>
    <col min="2" max="4" width="11" customWidth="1"/>
    <col min="5" max="5" width="9" customWidth="1"/>
    <col min="6" max="6" width="15" customWidth="1"/>
    <col min="7" max="7" width="50" customWidth="1"/>
  </cols>
  <sheetData>
    <row r="1" spans="1:7" x14ac:dyDescent="0.3">
      <c r="A1" s="23" t="s">
        <v>0</v>
      </c>
      <c r="B1" s="20"/>
      <c r="C1" s="20"/>
      <c r="D1" s="20"/>
      <c r="E1" s="20"/>
      <c r="F1" s="20"/>
      <c r="G1" s="20"/>
    </row>
    <row r="2" spans="1:7" x14ac:dyDescent="0.3">
      <c r="A2" s="21"/>
      <c r="B2" s="20"/>
      <c r="C2" s="20"/>
      <c r="D2" s="20"/>
      <c r="E2" s="20"/>
      <c r="F2" s="20"/>
      <c r="G2" s="20"/>
    </row>
    <row r="3" spans="1:7" ht="29.45" customHeight="1" x14ac:dyDescent="0.3">
      <c r="A3" s="19" t="s">
        <v>1</v>
      </c>
      <c r="B3" s="20"/>
      <c r="C3" s="20"/>
      <c r="D3" s="20"/>
      <c r="E3" s="20"/>
      <c r="F3" s="20"/>
      <c r="G3" s="20"/>
    </row>
    <row r="5" spans="1:7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s="3" t="s">
        <v>9</v>
      </c>
      <c r="B6" s="4">
        <v>1.5</v>
      </c>
      <c r="C6" s="4">
        <v>2</v>
      </c>
      <c r="D6" s="4">
        <v>3</v>
      </c>
      <c r="E6" s="5" t="s">
        <v>10</v>
      </c>
      <c r="F6" s="4">
        <v>450</v>
      </c>
      <c r="G6" s="6" t="s">
        <v>11</v>
      </c>
    </row>
    <row r="7" spans="1:7" x14ac:dyDescent="0.3">
      <c r="A7" s="3" t="s">
        <v>12</v>
      </c>
      <c r="B7" s="4">
        <v>3</v>
      </c>
      <c r="C7" s="4">
        <v>2</v>
      </c>
      <c r="D7" s="4">
        <v>1.5</v>
      </c>
      <c r="E7" s="5" t="s">
        <v>10</v>
      </c>
      <c r="F7" s="4">
        <v>600</v>
      </c>
      <c r="G7" s="6" t="s">
        <v>13</v>
      </c>
    </row>
    <row r="8" spans="1:7" x14ac:dyDescent="0.3">
      <c r="A8" s="3" t="s">
        <v>14</v>
      </c>
      <c r="B8" s="4">
        <v>1</v>
      </c>
      <c r="C8" s="4">
        <v>1</v>
      </c>
      <c r="D8" s="4">
        <v>1</v>
      </c>
      <c r="E8" s="5" t="s">
        <v>15</v>
      </c>
      <c r="F8" s="4">
        <v>240</v>
      </c>
      <c r="G8" s="6" t="s">
        <v>176</v>
      </c>
    </row>
    <row r="9" spans="1:7" x14ac:dyDescent="0.3">
      <c r="A9" s="3" t="s">
        <v>16</v>
      </c>
      <c r="B9" s="4">
        <v>50</v>
      </c>
      <c r="C9" s="4">
        <v>65</v>
      </c>
      <c r="D9" s="4">
        <v>70</v>
      </c>
      <c r="E9" s="5" t="s">
        <v>17</v>
      </c>
      <c r="F9" s="5"/>
      <c r="G9" s="6" t="s">
        <v>18</v>
      </c>
    </row>
    <row r="10" spans="1:7" ht="29.95" customHeight="1" x14ac:dyDescent="0.3">
      <c r="A10" s="21" t="s">
        <v>174</v>
      </c>
      <c r="B10" s="20"/>
      <c r="C10" s="20"/>
      <c r="D10" s="20"/>
      <c r="E10" s="20"/>
      <c r="F10" s="20"/>
      <c r="G10" s="20"/>
    </row>
    <row r="11" spans="1:7" x14ac:dyDescent="0.3">
      <c r="A11" s="21"/>
      <c r="B11" s="20"/>
      <c r="C11" s="20"/>
      <c r="D11" s="20"/>
      <c r="E11" s="20"/>
      <c r="F11" s="20"/>
      <c r="G11" s="20"/>
    </row>
    <row r="13" spans="1:7" x14ac:dyDescent="0.3">
      <c r="A13" s="22" t="s">
        <v>19</v>
      </c>
      <c r="B13" s="20"/>
      <c r="C13" s="20"/>
      <c r="D13" s="20"/>
      <c r="E13" s="20"/>
      <c r="F13" s="20"/>
      <c r="G13" s="20"/>
    </row>
    <row r="14" spans="1:7" x14ac:dyDescent="0.3">
      <c r="A14" s="7" t="s">
        <v>20</v>
      </c>
      <c r="B14" s="17" t="s">
        <v>175</v>
      </c>
      <c r="C14" s="18"/>
      <c r="D14" s="18"/>
      <c r="E14" s="18"/>
      <c r="F14" s="18"/>
      <c r="G14" s="18"/>
    </row>
    <row r="15" spans="1:7" x14ac:dyDescent="0.3">
      <c r="A15" s="7" t="s">
        <v>21</v>
      </c>
      <c r="B15" s="17" t="s">
        <v>22</v>
      </c>
      <c r="C15" s="18"/>
      <c r="D15" s="18"/>
      <c r="E15" s="18"/>
      <c r="F15" s="18"/>
      <c r="G15" s="18"/>
    </row>
    <row r="16" spans="1:7" x14ac:dyDescent="0.3">
      <c r="A16" s="7" t="s">
        <v>23</v>
      </c>
      <c r="B16" s="17" t="s">
        <v>24</v>
      </c>
      <c r="C16" s="18"/>
      <c r="D16" s="18"/>
      <c r="E16" s="18"/>
      <c r="F16" s="18"/>
      <c r="G16" s="18"/>
    </row>
    <row r="17" spans="1:7" x14ac:dyDescent="0.3">
      <c r="A17" s="7" t="s">
        <v>25</v>
      </c>
      <c r="B17" s="17" t="s">
        <v>26</v>
      </c>
      <c r="C17" s="18"/>
      <c r="D17" s="18"/>
      <c r="E17" s="18"/>
      <c r="F17" s="18"/>
      <c r="G17" s="18"/>
    </row>
    <row r="18" spans="1:7" x14ac:dyDescent="0.3">
      <c r="A18" s="7" t="s">
        <v>27</v>
      </c>
      <c r="B18" s="17" t="s">
        <v>28</v>
      </c>
      <c r="C18" s="18"/>
      <c r="D18" s="18"/>
      <c r="E18" s="18"/>
      <c r="F18" s="18"/>
      <c r="G18" s="18"/>
    </row>
    <row r="19" spans="1:7" x14ac:dyDescent="0.3">
      <c r="A19" s="7" t="s">
        <v>29</v>
      </c>
      <c r="B19" s="17" t="s">
        <v>30</v>
      </c>
      <c r="C19" s="18"/>
      <c r="D19" s="18"/>
      <c r="E19" s="18"/>
      <c r="F19" s="18"/>
      <c r="G19" s="18"/>
    </row>
    <row r="21" spans="1:7" x14ac:dyDescent="0.3">
      <c r="A21" s="22" t="s">
        <v>31</v>
      </c>
      <c r="B21" s="20"/>
      <c r="C21" s="20"/>
      <c r="D21" s="20"/>
      <c r="E21" s="20"/>
      <c r="F21" s="20"/>
      <c r="G21" s="20"/>
    </row>
    <row r="22" spans="1:7" ht="29.95" customHeight="1" x14ac:dyDescent="0.3">
      <c r="A22" s="19" t="s">
        <v>32</v>
      </c>
      <c r="B22" s="20"/>
      <c r="C22" s="20"/>
      <c r="D22" s="20"/>
      <c r="E22" s="20"/>
      <c r="F22" s="20"/>
      <c r="G22" s="20"/>
    </row>
    <row r="23" spans="1:7" x14ac:dyDescent="0.3">
      <c r="A23" s="7" t="s">
        <v>20</v>
      </c>
      <c r="B23" s="17" t="s">
        <v>177</v>
      </c>
      <c r="C23" s="18"/>
      <c r="D23" s="18"/>
      <c r="E23" s="18"/>
      <c r="F23" s="18"/>
      <c r="G23" s="18"/>
    </row>
    <row r="24" spans="1:7" x14ac:dyDescent="0.3">
      <c r="A24" s="7" t="s">
        <v>21</v>
      </c>
      <c r="B24" s="17" t="s">
        <v>33</v>
      </c>
      <c r="C24" s="18"/>
      <c r="D24" s="18"/>
      <c r="E24" s="18"/>
      <c r="F24" s="18"/>
      <c r="G24" s="18"/>
    </row>
    <row r="25" spans="1:7" x14ac:dyDescent="0.3">
      <c r="A25" s="7" t="s">
        <v>34</v>
      </c>
      <c r="B25" s="17" t="s">
        <v>35</v>
      </c>
      <c r="C25" s="18"/>
      <c r="D25" s="18"/>
      <c r="E25" s="18"/>
      <c r="F25" s="18"/>
      <c r="G25" s="18"/>
    </row>
    <row r="26" spans="1:7" x14ac:dyDescent="0.3">
      <c r="A26" s="7" t="s">
        <v>36</v>
      </c>
      <c r="B26" s="17" t="s">
        <v>37</v>
      </c>
      <c r="C26" s="18"/>
      <c r="D26" s="18"/>
      <c r="E26" s="18"/>
      <c r="F26" s="18"/>
      <c r="G26" s="18"/>
    </row>
    <row r="27" spans="1:7" x14ac:dyDescent="0.3">
      <c r="A27" s="7" t="s">
        <v>38</v>
      </c>
      <c r="B27" s="17" t="s">
        <v>39</v>
      </c>
      <c r="C27" s="18"/>
      <c r="D27" s="18"/>
      <c r="E27" s="18"/>
      <c r="F27" s="18"/>
      <c r="G27" s="18"/>
    </row>
    <row r="28" spans="1:7" x14ac:dyDescent="0.3">
      <c r="A28" s="7" t="s">
        <v>40</v>
      </c>
      <c r="B28" s="17" t="s">
        <v>41</v>
      </c>
      <c r="C28" s="18"/>
      <c r="D28" s="18"/>
      <c r="E28" s="18"/>
      <c r="F28" s="18"/>
      <c r="G28" s="18"/>
    </row>
    <row r="29" spans="1:7" x14ac:dyDescent="0.3">
      <c r="A29" s="7" t="s">
        <v>29</v>
      </c>
      <c r="B29" s="17" t="s">
        <v>42</v>
      </c>
      <c r="C29" s="18"/>
      <c r="D29" s="18"/>
      <c r="E29" s="18"/>
      <c r="F29" s="18"/>
      <c r="G29" s="18"/>
    </row>
  </sheetData>
  <mergeCells count="21">
    <mergeCell ref="A1:G1"/>
    <mergeCell ref="B26:G26"/>
    <mergeCell ref="B25:G25"/>
    <mergeCell ref="B16:G16"/>
    <mergeCell ref="A3:G3"/>
    <mergeCell ref="A21:G21"/>
    <mergeCell ref="B27:G27"/>
    <mergeCell ref="A2:G2"/>
    <mergeCell ref="B18:G18"/>
    <mergeCell ref="A10:G10"/>
    <mergeCell ref="A13:G13"/>
    <mergeCell ref="B19:G19"/>
    <mergeCell ref="B28:G28"/>
    <mergeCell ref="A11:G11"/>
    <mergeCell ref="B15:G15"/>
    <mergeCell ref="B24:G24"/>
    <mergeCell ref="B14:G14"/>
    <mergeCell ref="A22:G22"/>
    <mergeCell ref="B17:G17"/>
    <mergeCell ref="B23:G23"/>
    <mergeCell ref="B29:G29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F18F-BC2D-4DAA-9298-350156F892B6}">
  <dimension ref="A1:G30"/>
  <sheetViews>
    <sheetView showGridLines="0" topLeftCell="A10" workbookViewId="0"/>
  </sheetViews>
  <sheetFormatPr defaultRowHeight="15.05" x14ac:dyDescent="0.3"/>
  <cols>
    <col min="1" max="1" width="2.33203125" customWidth="1"/>
    <col min="2" max="2" width="6.77734375" bestFit="1" customWidth="1"/>
    <col min="3" max="3" width="30.33203125" bestFit="1" customWidth="1"/>
    <col min="4" max="4" width="17.21875" bestFit="1" customWidth="1"/>
    <col min="5" max="5" width="22" bestFit="1" customWidth="1"/>
    <col min="6" max="6" width="14" bestFit="1" customWidth="1"/>
    <col min="7" max="7" width="6.77734375" bestFit="1" customWidth="1"/>
  </cols>
  <sheetData>
    <row r="1" spans="1:5" x14ac:dyDescent="0.3">
      <c r="A1" s="30" t="s">
        <v>109</v>
      </c>
    </row>
    <row r="2" spans="1:5" x14ac:dyDescent="0.3">
      <c r="A2" s="30" t="s">
        <v>110</v>
      </c>
    </row>
    <row r="3" spans="1:5" x14ac:dyDescent="0.3">
      <c r="A3" s="30" t="s">
        <v>111</v>
      </c>
    </row>
    <row r="4" spans="1:5" x14ac:dyDescent="0.3">
      <c r="A4" s="30" t="s">
        <v>112</v>
      </c>
    </row>
    <row r="5" spans="1:5" x14ac:dyDescent="0.3">
      <c r="A5" s="30" t="s">
        <v>113</v>
      </c>
    </row>
    <row r="6" spans="1:5" x14ac:dyDescent="0.3">
      <c r="A6" s="30"/>
      <c r="B6" t="s">
        <v>114</v>
      </c>
    </row>
    <row r="7" spans="1:5" x14ac:dyDescent="0.3">
      <c r="A7" s="30"/>
      <c r="B7" t="s">
        <v>115</v>
      </c>
    </row>
    <row r="8" spans="1:5" x14ac:dyDescent="0.3">
      <c r="A8" s="30"/>
      <c r="B8" t="s">
        <v>116</v>
      </c>
    </row>
    <row r="9" spans="1:5" x14ac:dyDescent="0.3">
      <c r="A9" s="30" t="s">
        <v>117</v>
      </c>
    </row>
    <row r="10" spans="1:5" x14ac:dyDescent="0.3">
      <c r="B10" t="s">
        <v>118</v>
      </c>
    </row>
    <row r="11" spans="1:5" x14ac:dyDescent="0.3">
      <c r="B11" t="s">
        <v>119</v>
      </c>
    </row>
    <row r="14" spans="1:5" ht="15.75" thickBot="1" x14ac:dyDescent="0.35">
      <c r="A14" t="s">
        <v>120</v>
      </c>
    </row>
    <row r="15" spans="1:5" ht="15.75" thickBot="1" x14ac:dyDescent="0.35">
      <c r="B15" s="32" t="s">
        <v>121</v>
      </c>
      <c r="C15" s="32" t="s">
        <v>122</v>
      </c>
      <c r="D15" s="32" t="s">
        <v>123</v>
      </c>
      <c r="E15" s="32" t="s">
        <v>124</v>
      </c>
    </row>
    <row r="16" spans="1:5" ht="15.75" thickBot="1" x14ac:dyDescent="0.35">
      <c r="B16" s="31" t="s">
        <v>129</v>
      </c>
      <c r="C16" s="31" t="s">
        <v>50</v>
      </c>
      <c r="D16" s="34">
        <v>14750</v>
      </c>
      <c r="E16" s="34">
        <v>14750</v>
      </c>
    </row>
    <row r="19" spans="1:7" ht="15.75" thickBot="1" x14ac:dyDescent="0.35">
      <c r="A19" t="s">
        <v>125</v>
      </c>
    </row>
    <row r="20" spans="1:7" ht="15.75" thickBot="1" x14ac:dyDescent="0.35">
      <c r="B20" s="32" t="s">
        <v>121</v>
      </c>
      <c r="C20" s="32" t="s">
        <v>122</v>
      </c>
      <c r="D20" s="32" t="s">
        <v>123</v>
      </c>
      <c r="E20" s="32" t="s">
        <v>124</v>
      </c>
      <c r="F20" s="32" t="s">
        <v>126</v>
      </c>
    </row>
    <row r="21" spans="1:7" x14ac:dyDescent="0.3">
      <c r="B21" s="33" t="s">
        <v>130</v>
      </c>
      <c r="C21" s="33" t="s">
        <v>131</v>
      </c>
      <c r="D21" s="35">
        <v>100</v>
      </c>
      <c r="E21" s="35">
        <v>100.00000000000001</v>
      </c>
      <c r="F21" s="33" t="s">
        <v>132</v>
      </c>
    </row>
    <row r="22" spans="1:7" x14ac:dyDescent="0.3">
      <c r="B22" s="33" t="s">
        <v>133</v>
      </c>
      <c r="C22" s="33" t="s">
        <v>134</v>
      </c>
      <c r="D22" s="35">
        <v>150</v>
      </c>
      <c r="E22" s="35">
        <v>150</v>
      </c>
      <c r="F22" s="33" t="s">
        <v>132</v>
      </c>
    </row>
    <row r="23" spans="1:7" ht="15.75" thickBot="1" x14ac:dyDescent="0.35">
      <c r="B23" s="31" t="s">
        <v>135</v>
      </c>
      <c r="C23" s="31" t="s">
        <v>136</v>
      </c>
      <c r="D23" s="34">
        <v>0</v>
      </c>
      <c r="E23" s="34">
        <v>0</v>
      </c>
      <c r="F23" s="31" t="s">
        <v>132</v>
      </c>
    </row>
    <row r="26" spans="1:7" ht="15.75" thickBot="1" x14ac:dyDescent="0.35">
      <c r="A26" t="s">
        <v>127</v>
      </c>
    </row>
    <row r="27" spans="1:7" ht="15.75" thickBot="1" x14ac:dyDescent="0.35">
      <c r="B27" s="32" t="s">
        <v>121</v>
      </c>
      <c r="C27" s="32" t="s">
        <v>122</v>
      </c>
      <c r="D27" s="32" t="s">
        <v>128</v>
      </c>
      <c r="E27" s="32" t="s">
        <v>102</v>
      </c>
      <c r="F27" s="32" t="s">
        <v>103</v>
      </c>
      <c r="G27" s="32" t="s">
        <v>104</v>
      </c>
    </row>
    <row r="28" spans="1:7" x14ac:dyDescent="0.3">
      <c r="B28" s="33" t="s">
        <v>137</v>
      </c>
      <c r="C28" s="33" t="s">
        <v>138</v>
      </c>
      <c r="D28" s="35">
        <v>450</v>
      </c>
      <c r="E28" s="33" t="s">
        <v>139</v>
      </c>
      <c r="F28" s="33" t="s">
        <v>105</v>
      </c>
      <c r="G28" s="33">
        <v>0</v>
      </c>
    </row>
    <row r="29" spans="1:7" x14ac:dyDescent="0.3">
      <c r="B29" s="33" t="s">
        <v>140</v>
      </c>
      <c r="C29" s="33" t="s">
        <v>141</v>
      </c>
      <c r="D29" s="35">
        <v>600</v>
      </c>
      <c r="E29" s="33" t="s">
        <v>142</v>
      </c>
      <c r="F29" s="33" t="s">
        <v>105</v>
      </c>
      <c r="G29" s="33">
        <v>0</v>
      </c>
    </row>
    <row r="30" spans="1:7" ht="15.75" thickBot="1" x14ac:dyDescent="0.35">
      <c r="B30" s="31" t="s">
        <v>143</v>
      </c>
      <c r="C30" s="31" t="s">
        <v>144</v>
      </c>
      <c r="D30" s="34">
        <v>250</v>
      </c>
      <c r="E30" s="31" t="s">
        <v>145</v>
      </c>
      <c r="F30" s="31" t="s">
        <v>106</v>
      </c>
      <c r="G30" s="3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1999-9998-4CC8-A7E4-7F85417BCB61}">
  <dimension ref="A1:H18"/>
  <sheetViews>
    <sheetView showGridLines="0" workbookViewId="0"/>
  </sheetViews>
  <sheetFormatPr defaultRowHeight="15.05" x14ac:dyDescent="0.3"/>
  <cols>
    <col min="1" max="1" width="2.33203125" customWidth="1"/>
    <col min="2" max="2" width="6.77734375" bestFit="1" customWidth="1"/>
    <col min="3" max="3" width="30.33203125" bestFit="1" customWidth="1"/>
    <col min="4" max="4" width="13.77734375" bestFit="1" customWidth="1"/>
    <col min="5" max="5" width="12" bestFit="1" customWidth="1"/>
    <col min="6" max="6" width="15.44140625" bestFit="1" customWidth="1"/>
    <col min="7" max="8" width="12" bestFit="1" customWidth="1"/>
  </cols>
  <sheetData>
    <row r="1" spans="1:8" x14ac:dyDescent="0.3">
      <c r="A1" s="30" t="s">
        <v>146</v>
      </c>
    </row>
    <row r="2" spans="1:8" x14ac:dyDescent="0.3">
      <c r="A2" s="30" t="s">
        <v>110</v>
      </c>
    </row>
    <row r="3" spans="1:8" x14ac:dyDescent="0.3">
      <c r="A3" s="30" t="s">
        <v>111</v>
      </c>
    </row>
    <row r="6" spans="1:8" ht="15.75" thickBot="1" x14ac:dyDescent="0.35">
      <c r="A6" t="s">
        <v>125</v>
      </c>
    </row>
    <row r="7" spans="1:8" x14ac:dyDescent="0.3">
      <c r="B7" s="36"/>
      <c r="C7" s="36"/>
      <c r="D7" s="36" t="s">
        <v>147</v>
      </c>
      <c r="E7" s="36" t="s">
        <v>148</v>
      </c>
      <c r="F7" s="36" t="s">
        <v>21</v>
      </c>
      <c r="G7" s="36" t="s">
        <v>151</v>
      </c>
      <c r="H7" s="36" t="s">
        <v>151</v>
      </c>
    </row>
    <row r="8" spans="1:8" ht="15.75" thickBot="1" x14ac:dyDescent="0.35">
      <c r="B8" s="37" t="s">
        <v>121</v>
      </c>
      <c r="C8" s="37" t="s">
        <v>122</v>
      </c>
      <c r="D8" s="37" t="s">
        <v>107</v>
      </c>
      <c r="E8" s="37" t="s">
        <v>149</v>
      </c>
      <c r="F8" s="37" t="s">
        <v>150</v>
      </c>
      <c r="G8" s="37" t="s">
        <v>152</v>
      </c>
      <c r="H8" s="37" t="s">
        <v>153</v>
      </c>
    </row>
    <row r="9" spans="1:8" x14ac:dyDescent="0.3">
      <c r="B9" s="33" t="s">
        <v>130</v>
      </c>
      <c r="C9" s="33" t="s">
        <v>131</v>
      </c>
      <c r="D9" s="33">
        <v>100.00000000000001</v>
      </c>
      <c r="E9" s="33">
        <v>0</v>
      </c>
      <c r="F9" s="33">
        <v>50</v>
      </c>
      <c r="G9" s="33">
        <v>26.250000000000011</v>
      </c>
      <c r="H9" s="33">
        <v>1.2499999999999929</v>
      </c>
    </row>
    <row r="10" spans="1:8" x14ac:dyDescent="0.3">
      <c r="B10" s="33" t="s">
        <v>133</v>
      </c>
      <c r="C10" s="33" t="s">
        <v>134</v>
      </c>
      <c r="D10" s="33">
        <v>150</v>
      </c>
      <c r="E10" s="33">
        <v>0</v>
      </c>
      <c r="F10" s="33">
        <v>65</v>
      </c>
      <c r="G10" s="33">
        <v>1.6666666666666572</v>
      </c>
      <c r="H10" s="33">
        <v>11.666666666666671</v>
      </c>
    </row>
    <row r="11" spans="1:8" ht="15.75" thickBot="1" x14ac:dyDescent="0.35">
      <c r="B11" s="31" t="s">
        <v>135</v>
      </c>
      <c r="C11" s="31" t="s">
        <v>136</v>
      </c>
      <c r="D11" s="31">
        <v>0</v>
      </c>
      <c r="E11" s="31">
        <v>-26.250000000000011</v>
      </c>
      <c r="F11" s="31">
        <v>70</v>
      </c>
      <c r="G11" s="31">
        <v>26.250000000000011</v>
      </c>
      <c r="H11" s="31">
        <v>1E+30</v>
      </c>
    </row>
    <row r="13" spans="1:8" ht="15.75" thickBot="1" x14ac:dyDescent="0.35">
      <c r="A13" t="s">
        <v>127</v>
      </c>
    </row>
    <row r="14" spans="1:8" x14ac:dyDescent="0.3">
      <c r="B14" s="36"/>
      <c r="C14" s="36"/>
      <c r="D14" s="36" t="s">
        <v>147</v>
      </c>
      <c r="E14" s="36" t="s">
        <v>154</v>
      </c>
      <c r="F14" s="36" t="s">
        <v>51</v>
      </c>
      <c r="G14" s="36" t="s">
        <v>151</v>
      </c>
      <c r="H14" s="36" t="s">
        <v>151</v>
      </c>
    </row>
    <row r="15" spans="1:8" ht="15.75" thickBot="1" x14ac:dyDescent="0.35">
      <c r="B15" s="37" t="s">
        <v>121</v>
      </c>
      <c r="C15" s="37" t="s">
        <v>122</v>
      </c>
      <c r="D15" s="37" t="s">
        <v>107</v>
      </c>
      <c r="E15" s="37" t="s">
        <v>155</v>
      </c>
      <c r="F15" s="37" t="s">
        <v>156</v>
      </c>
      <c r="G15" s="37" t="s">
        <v>152</v>
      </c>
      <c r="H15" s="37" t="s">
        <v>153</v>
      </c>
    </row>
    <row r="16" spans="1:8" x14ac:dyDescent="0.3">
      <c r="B16" s="33" t="s">
        <v>137</v>
      </c>
      <c r="C16" s="33" t="s">
        <v>138</v>
      </c>
      <c r="D16" s="33">
        <v>450</v>
      </c>
      <c r="E16" s="33">
        <v>31.666666666666675</v>
      </c>
      <c r="F16" s="33">
        <v>450</v>
      </c>
      <c r="G16" s="33">
        <v>150.00000000000003</v>
      </c>
      <c r="H16" s="33">
        <v>29.999999999999996</v>
      </c>
    </row>
    <row r="17" spans="2:8" x14ac:dyDescent="0.3">
      <c r="B17" s="33" t="s">
        <v>140</v>
      </c>
      <c r="C17" s="33" t="s">
        <v>141</v>
      </c>
      <c r="D17" s="33">
        <v>600</v>
      </c>
      <c r="E17" s="33">
        <v>0.8333333333333286</v>
      </c>
      <c r="F17" s="33">
        <v>600</v>
      </c>
      <c r="G17" s="33">
        <v>300</v>
      </c>
      <c r="H17" s="33">
        <v>60.000000000000014</v>
      </c>
    </row>
    <row r="18" spans="2:8" ht="15.75" thickBot="1" x14ac:dyDescent="0.35">
      <c r="B18" s="31" t="s">
        <v>143</v>
      </c>
      <c r="C18" s="31" t="s">
        <v>144</v>
      </c>
      <c r="D18" s="31">
        <v>250</v>
      </c>
      <c r="E18" s="31">
        <v>0</v>
      </c>
      <c r="F18" s="31">
        <v>240</v>
      </c>
      <c r="G18" s="31">
        <v>10</v>
      </c>
      <c r="H18" s="31">
        <v>1E+30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D3AA-D6DE-4E08-9E83-3CA41B900704}">
  <dimension ref="A1:J15"/>
  <sheetViews>
    <sheetView showGridLines="0" workbookViewId="0">
      <selection sqref="A1:A3"/>
    </sheetView>
  </sheetViews>
  <sheetFormatPr defaultRowHeight="15.05" x14ac:dyDescent="0.3"/>
  <cols>
    <col min="1" max="1" width="2.33203125" customWidth="1"/>
    <col min="2" max="2" width="6.77734375" bestFit="1" customWidth="1"/>
    <col min="3" max="3" width="11.33203125" bestFit="1" customWidth="1"/>
    <col min="4" max="4" width="8.6640625" bestFit="1" customWidth="1"/>
    <col min="5" max="5" width="2.33203125" customWidth="1"/>
    <col min="6" max="6" width="7.6640625" bestFit="1" customWidth="1"/>
    <col min="7" max="7" width="15.44140625" bestFit="1" customWidth="1"/>
    <col min="8" max="8" width="2.33203125" customWidth="1"/>
    <col min="9" max="9" width="8" bestFit="1" customWidth="1"/>
    <col min="10" max="10" width="15.44140625" bestFit="1" customWidth="1"/>
  </cols>
  <sheetData>
    <row r="1" spans="1:10" x14ac:dyDescent="0.3">
      <c r="A1" s="30" t="s">
        <v>157</v>
      </c>
    </row>
    <row r="2" spans="1:10" x14ac:dyDescent="0.3">
      <c r="A2" s="30" t="s">
        <v>110</v>
      </c>
    </row>
    <row r="3" spans="1:10" x14ac:dyDescent="0.3">
      <c r="A3" s="30" t="s">
        <v>111</v>
      </c>
    </row>
    <row r="5" spans="1:10" ht="15.75" thickBot="1" x14ac:dyDescent="0.35"/>
    <row r="6" spans="1:10" x14ac:dyDescent="0.3">
      <c r="B6" s="36"/>
      <c r="C6" s="36" t="s">
        <v>21</v>
      </c>
      <c r="D6" s="36"/>
    </row>
    <row r="7" spans="1:10" ht="15.75" thickBot="1" x14ac:dyDescent="0.35">
      <c r="B7" s="37" t="s">
        <v>121</v>
      </c>
      <c r="C7" s="37" t="s">
        <v>122</v>
      </c>
      <c r="D7" s="37" t="s">
        <v>107</v>
      </c>
    </row>
    <row r="8" spans="1:10" ht="15.75" thickBot="1" x14ac:dyDescent="0.35">
      <c r="B8" s="31" t="s">
        <v>129</v>
      </c>
      <c r="C8" s="31" t="s">
        <v>50</v>
      </c>
      <c r="D8" s="34">
        <v>14750</v>
      </c>
    </row>
    <row r="10" spans="1:10" ht="15.75" thickBot="1" x14ac:dyDescent="0.35"/>
    <row r="11" spans="1:10" x14ac:dyDescent="0.3">
      <c r="B11" s="36"/>
      <c r="C11" s="36" t="s">
        <v>44</v>
      </c>
      <c r="D11" s="36"/>
      <c r="F11" s="36" t="s">
        <v>158</v>
      </c>
      <c r="G11" s="36" t="s">
        <v>21</v>
      </c>
      <c r="I11" s="36" t="s">
        <v>161</v>
      </c>
      <c r="J11" s="36" t="s">
        <v>21</v>
      </c>
    </row>
    <row r="12" spans="1:10" ht="15.75" thickBot="1" x14ac:dyDescent="0.35">
      <c r="B12" s="37" t="s">
        <v>121</v>
      </c>
      <c r="C12" s="37" t="s">
        <v>122</v>
      </c>
      <c r="D12" s="37" t="s">
        <v>107</v>
      </c>
      <c r="F12" s="37" t="s">
        <v>159</v>
      </c>
      <c r="G12" s="37" t="s">
        <v>160</v>
      </c>
      <c r="I12" s="37" t="s">
        <v>159</v>
      </c>
      <c r="J12" s="37" t="s">
        <v>160</v>
      </c>
    </row>
    <row r="13" spans="1:10" x14ac:dyDescent="0.3">
      <c r="B13" s="33" t="s">
        <v>130</v>
      </c>
      <c r="C13" s="33" t="s">
        <v>131</v>
      </c>
      <c r="D13" s="35">
        <v>100.00000000000001</v>
      </c>
      <c r="F13" s="35">
        <v>90</v>
      </c>
      <c r="G13" s="35">
        <v>14250</v>
      </c>
      <c r="I13" s="35">
        <v>100</v>
      </c>
      <c r="J13" s="35">
        <v>14750</v>
      </c>
    </row>
    <row r="14" spans="1:10" x14ac:dyDescent="0.3">
      <c r="B14" s="33" t="s">
        <v>133</v>
      </c>
      <c r="C14" s="33" t="s">
        <v>134</v>
      </c>
      <c r="D14" s="35">
        <v>150</v>
      </c>
      <c r="F14" s="35">
        <v>140</v>
      </c>
      <c r="G14" s="35">
        <v>14100</v>
      </c>
      <c r="I14" s="35">
        <v>149.99999999999997</v>
      </c>
      <c r="J14" s="35">
        <v>14750</v>
      </c>
    </row>
    <row r="15" spans="1:10" ht="15.75" thickBot="1" x14ac:dyDescent="0.35">
      <c r="B15" s="31" t="s">
        <v>135</v>
      </c>
      <c r="C15" s="31" t="s">
        <v>136</v>
      </c>
      <c r="D15" s="34">
        <v>0</v>
      </c>
      <c r="F15" s="34">
        <v>0</v>
      </c>
      <c r="G15" s="34">
        <v>14750</v>
      </c>
      <c r="I15" s="34">
        <v>0</v>
      </c>
      <c r="J15" s="34">
        <v>14750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5"/>
  <sheetViews>
    <sheetView showGridLines="0" workbookViewId="0">
      <selection activeCell="M9" sqref="M9"/>
    </sheetView>
  </sheetViews>
  <sheetFormatPr defaultRowHeight="15.05" x14ac:dyDescent="0.3"/>
  <cols>
    <col min="1" max="1" width="30" customWidth="1"/>
    <col min="2" max="4" width="6.21875" bestFit="1" customWidth="1"/>
    <col min="5" max="5" width="14" customWidth="1"/>
    <col min="6" max="6" width="4.5546875" bestFit="1" customWidth="1"/>
    <col min="7" max="7" width="11.6640625" bestFit="1" customWidth="1"/>
    <col min="8" max="8" width="11" customWidth="1"/>
    <col min="9" max="9" width="32.77734375" bestFit="1" customWidth="1"/>
  </cols>
  <sheetData>
    <row r="1" spans="1:9" x14ac:dyDescent="0.3">
      <c r="A1" s="23" t="s">
        <v>43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1"/>
      <c r="B2" s="20"/>
      <c r="C2" s="20"/>
      <c r="D2" s="20"/>
      <c r="E2" s="20"/>
      <c r="F2" s="20"/>
      <c r="G2" s="20"/>
      <c r="H2" s="20"/>
      <c r="I2" s="20"/>
    </row>
    <row r="4" spans="1:9" x14ac:dyDescent="0.3">
      <c r="A4" s="2" t="s">
        <v>44</v>
      </c>
      <c r="B4" s="2" t="s">
        <v>45</v>
      </c>
      <c r="C4" s="2" t="s">
        <v>46</v>
      </c>
      <c r="D4" s="2" t="s">
        <v>47</v>
      </c>
    </row>
    <row r="5" spans="1:9" x14ac:dyDescent="0.3">
      <c r="A5" s="7" t="s">
        <v>48</v>
      </c>
      <c r="B5" s="8">
        <v>100.00000000000001</v>
      </c>
      <c r="C5" s="8">
        <v>150</v>
      </c>
      <c r="D5" s="8">
        <v>0</v>
      </c>
    </row>
    <row r="6" spans="1:9" x14ac:dyDescent="0.3">
      <c r="A6" s="7" t="s">
        <v>49</v>
      </c>
      <c r="B6" s="9">
        <f>Условие!B9</f>
        <v>50</v>
      </c>
      <c r="C6" s="9">
        <f>Условие!C9</f>
        <v>65</v>
      </c>
      <c r="D6" s="9">
        <f>Условие!D9</f>
        <v>70</v>
      </c>
      <c r="E6" s="10" t="s">
        <v>50</v>
      </c>
      <c r="F6" s="25">
        <f>SUMPRODUCT($B$5:$D$5,B6:D6)</f>
        <v>14750</v>
      </c>
      <c r="G6" s="26"/>
      <c r="H6" s="10" t="s">
        <v>17</v>
      </c>
    </row>
    <row r="8" spans="1:9" x14ac:dyDescent="0.3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6</v>
      </c>
      <c r="G8" s="2" t="s">
        <v>56</v>
      </c>
      <c r="H8" s="2" t="s">
        <v>57</v>
      </c>
      <c r="I8" s="2" t="s">
        <v>58</v>
      </c>
    </row>
    <row r="9" spans="1:9" x14ac:dyDescent="0.3">
      <c r="A9" s="3" t="s">
        <v>59</v>
      </c>
      <c r="B9" s="9">
        <f>Условие!B6</f>
        <v>1.5</v>
      </c>
      <c r="C9" s="9">
        <f>Условие!C6</f>
        <v>2</v>
      </c>
      <c r="D9" s="9">
        <f>Условие!D6</f>
        <v>3</v>
      </c>
      <c r="E9" s="11">
        <f>SUMPRODUCT($B$5:$D$5,B9:D9)</f>
        <v>450</v>
      </c>
      <c r="F9" s="5" t="s">
        <v>60</v>
      </c>
      <c r="G9" s="9">
        <f>Условие!F6</f>
        <v>450</v>
      </c>
      <c r="H9" s="9">
        <f>G9-E9</f>
        <v>0</v>
      </c>
      <c r="I9" s="6" t="str">
        <f>IF(ABS(H9)&lt;0.000001,"израсходован полностью - дефицитный","есть остаток - избыточный")</f>
        <v>израсходован полностью - дефицитный</v>
      </c>
    </row>
    <row r="10" spans="1:9" x14ac:dyDescent="0.3">
      <c r="A10" s="3" t="s">
        <v>12</v>
      </c>
      <c r="B10" s="9">
        <f>Условие!B7</f>
        <v>3</v>
      </c>
      <c r="C10" s="9">
        <f>Условие!C7</f>
        <v>2</v>
      </c>
      <c r="D10" s="9">
        <f>Условие!D7</f>
        <v>1.5</v>
      </c>
      <c r="E10" s="11">
        <f>SUMPRODUCT($B$5:$D$5,B10:D10)</f>
        <v>600</v>
      </c>
      <c r="F10" s="5" t="s">
        <v>60</v>
      </c>
      <c r="G10" s="9">
        <f>Условие!F7</f>
        <v>600</v>
      </c>
      <c r="H10" s="9">
        <f>G10-E10</f>
        <v>0</v>
      </c>
      <c r="I10" s="6" t="str">
        <f>IF(ABS(H10)&lt;0.000001,"израсходован полностью - дефицитный","есть остаток - избыточный")</f>
        <v>израсходован полностью - дефицитный</v>
      </c>
    </row>
    <row r="11" spans="1:9" x14ac:dyDescent="0.3">
      <c r="A11" s="3" t="s">
        <v>14</v>
      </c>
      <c r="B11" s="9">
        <f>Условие!B8</f>
        <v>1</v>
      </c>
      <c r="C11" s="9">
        <f>Условие!C8</f>
        <v>1</v>
      </c>
      <c r="D11" s="9">
        <f>Условие!D8</f>
        <v>1</v>
      </c>
      <c r="E11" s="11">
        <f>SUMPRODUCT($B$5:$D$5,B11:D11)</f>
        <v>250</v>
      </c>
      <c r="F11" s="5" t="s">
        <v>61</v>
      </c>
      <c r="G11" s="9">
        <f>Условие!F8</f>
        <v>240</v>
      </c>
      <c r="H11" s="9">
        <f>E11-G11</f>
        <v>10</v>
      </c>
      <c r="I11" s="6" t="str">
        <f>IF(H11&gt;=0,"выполнено, запас "&amp;ROUND(H11,2)&amp;" тыс. р.","НЕ выполнено")</f>
        <v>выполнено, запас 10 тыс. р.</v>
      </c>
    </row>
    <row r="13" spans="1:9" x14ac:dyDescent="0.3">
      <c r="A13" s="12" t="s">
        <v>62</v>
      </c>
      <c r="B13" s="24" t="str">
        <f>"Продавать П1 на "&amp;ROUND(B5,2)&amp;" тыс. р., П2 на "&amp;ROUND(C5,2)&amp;" тыс. р., П3 на "&amp;ROUND(D5,2)&amp;" тыс. р. Максимальная прибыль Z = "&amp;ROUND(F6,2)&amp;" ден. ед."</f>
        <v>Продавать П1 на 100 тыс. р., П2 на 150 тыс. р., П3 на 0 тыс. р. Максимальная прибыль Z = 14750 ден. ед.</v>
      </c>
      <c r="C13" s="18"/>
      <c r="D13" s="18"/>
      <c r="E13" s="18"/>
      <c r="F13" s="18"/>
      <c r="G13" s="18"/>
      <c r="H13" s="18"/>
      <c r="I13" s="18"/>
    </row>
    <row r="15" spans="1:9" x14ac:dyDescent="0.3">
      <c r="A15" s="22"/>
      <c r="B15" s="20"/>
      <c r="C15" s="20"/>
      <c r="D15" s="20"/>
      <c r="E15" s="20"/>
      <c r="F15" s="20"/>
      <c r="G15" s="20"/>
      <c r="H15" s="20"/>
      <c r="I15" s="20"/>
    </row>
    <row r="16" spans="1:9" ht="28" customHeight="1" x14ac:dyDescent="0.3">
      <c r="A16" s="19"/>
      <c r="B16" s="20"/>
      <c r="C16" s="20"/>
      <c r="D16" s="20"/>
      <c r="E16" s="20"/>
      <c r="F16" s="20"/>
      <c r="G16" s="20"/>
      <c r="H16" s="20"/>
      <c r="I16" s="20"/>
    </row>
    <row r="17" spans="1:9" x14ac:dyDescent="0.3">
      <c r="A17" s="19"/>
      <c r="B17" s="20"/>
      <c r="C17" s="20"/>
      <c r="D17" s="20"/>
      <c r="E17" s="20"/>
      <c r="F17" s="20"/>
      <c r="G17" s="20"/>
      <c r="H17" s="20"/>
      <c r="I17" s="20"/>
    </row>
    <row r="18" spans="1:9" x14ac:dyDescent="0.3">
      <c r="A18" s="19"/>
      <c r="B18" s="20"/>
      <c r="C18" s="20"/>
      <c r="D18" s="20"/>
      <c r="E18" s="20"/>
      <c r="F18" s="20"/>
      <c r="G18" s="20"/>
      <c r="H18" s="20"/>
      <c r="I18" s="20"/>
    </row>
    <row r="19" spans="1:9" x14ac:dyDescent="0.3">
      <c r="A19" s="19"/>
      <c r="B19" s="20"/>
      <c r="C19" s="20"/>
      <c r="D19" s="20"/>
      <c r="E19" s="20"/>
      <c r="F19" s="20"/>
      <c r="G19" s="20"/>
      <c r="H19" s="20"/>
      <c r="I19" s="20"/>
    </row>
    <row r="20" spans="1:9" x14ac:dyDescent="0.3">
      <c r="A20" s="19"/>
      <c r="B20" s="20"/>
      <c r="C20" s="20"/>
      <c r="D20" s="20"/>
      <c r="E20" s="20"/>
      <c r="F20" s="20"/>
      <c r="G20" s="20"/>
      <c r="H20" s="20"/>
      <c r="I20" s="20"/>
    </row>
    <row r="21" spans="1:9" x14ac:dyDescent="0.3">
      <c r="A21" s="19"/>
      <c r="B21" s="20"/>
      <c r="C21" s="20"/>
      <c r="D21" s="20"/>
      <c r="E21" s="20"/>
      <c r="F21" s="20"/>
      <c r="G21" s="20"/>
      <c r="H21" s="20"/>
      <c r="I21" s="20"/>
    </row>
    <row r="22" spans="1:9" x14ac:dyDescent="0.3">
      <c r="A22" s="19"/>
      <c r="B22" s="20"/>
      <c r="C22" s="20"/>
      <c r="D22" s="20"/>
      <c r="E22" s="20"/>
      <c r="F22" s="20"/>
      <c r="G22" s="20"/>
      <c r="H22" s="20"/>
      <c r="I22" s="20"/>
    </row>
    <row r="23" spans="1:9" x14ac:dyDescent="0.3">
      <c r="A23" s="19"/>
      <c r="B23" s="20"/>
      <c r="C23" s="20"/>
      <c r="D23" s="20"/>
      <c r="E23" s="20"/>
      <c r="F23" s="20"/>
      <c r="G23" s="20"/>
      <c r="H23" s="20"/>
      <c r="I23" s="20"/>
    </row>
    <row r="24" spans="1:9" ht="28" customHeight="1" x14ac:dyDescent="0.3">
      <c r="A24" s="19"/>
      <c r="B24" s="20"/>
      <c r="C24" s="20"/>
      <c r="D24" s="20"/>
      <c r="E24" s="20"/>
      <c r="F24" s="20"/>
      <c r="G24" s="20"/>
      <c r="H24" s="20"/>
      <c r="I24" s="20"/>
    </row>
    <row r="25" spans="1:9" x14ac:dyDescent="0.3">
      <c r="A25" s="19"/>
      <c r="B25" s="20"/>
      <c r="C25" s="20"/>
      <c r="D25" s="20"/>
      <c r="E25" s="20"/>
      <c r="F25" s="20"/>
      <c r="G25" s="20"/>
      <c r="H25" s="20"/>
      <c r="I25" s="20"/>
    </row>
  </sheetData>
  <mergeCells count="15">
    <mergeCell ref="A1:I1"/>
    <mergeCell ref="A17:I17"/>
    <mergeCell ref="A18:I18"/>
    <mergeCell ref="F6:G6"/>
    <mergeCell ref="A23:I23"/>
    <mergeCell ref="A22:I22"/>
    <mergeCell ref="A20:I20"/>
    <mergeCell ref="A21:I21"/>
    <mergeCell ref="A16:I16"/>
    <mergeCell ref="A15:I15"/>
    <mergeCell ref="B13:I13"/>
    <mergeCell ref="A25:I25"/>
    <mergeCell ref="A2:I2"/>
    <mergeCell ref="A19:I19"/>
    <mergeCell ref="A24:I24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1"/>
  <sheetViews>
    <sheetView showGridLines="0" topLeftCell="A25" workbookViewId="0">
      <selection activeCell="A33" sqref="A33:J33"/>
    </sheetView>
  </sheetViews>
  <sheetFormatPr defaultRowHeight="15.05" x14ac:dyDescent="0.3"/>
  <cols>
    <col min="1" max="2" width="8" customWidth="1"/>
    <col min="3" max="3" width="7" customWidth="1"/>
    <col min="4" max="4" width="10" customWidth="1"/>
    <col min="5" max="9" width="9" customWidth="1"/>
    <col min="10" max="10" width="12" customWidth="1"/>
    <col min="11" max="11" width="2" customWidth="1"/>
    <col min="12" max="12" width="62" customWidth="1"/>
  </cols>
  <sheetData>
    <row r="1" spans="1:12" x14ac:dyDescent="0.3">
      <c r="A1" s="23" t="s">
        <v>178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3.1" customHeight="1" x14ac:dyDescent="0.3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3.1" customHeight="1" x14ac:dyDescent="0.3">
      <c r="A3" s="2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21.95" customHeight="1" x14ac:dyDescent="0.3">
      <c r="A5" s="2" t="s">
        <v>63</v>
      </c>
      <c r="B5" s="2" t="s">
        <v>64</v>
      </c>
      <c r="C5" s="2" t="s">
        <v>65</v>
      </c>
      <c r="D5" s="2" t="s">
        <v>66</v>
      </c>
      <c r="E5" s="2" t="s">
        <v>52</v>
      </c>
      <c r="F5" s="2" t="s">
        <v>53</v>
      </c>
      <c r="G5" s="2" t="s">
        <v>54</v>
      </c>
      <c r="H5" s="2" t="s">
        <v>67</v>
      </c>
      <c r="I5" s="2" t="s">
        <v>68</v>
      </c>
      <c r="J5" s="2" t="s">
        <v>69</v>
      </c>
      <c r="L5" s="19"/>
    </row>
    <row r="6" spans="1:12" ht="21.95" customHeight="1" x14ac:dyDescent="0.3">
      <c r="A6" s="5"/>
      <c r="B6" s="5"/>
      <c r="C6" s="5"/>
      <c r="D6" s="10" t="s">
        <v>70</v>
      </c>
      <c r="E6" s="11">
        <f>Условие!B9</f>
        <v>50</v>
      </c>
      <c r="F6" s="11">
        <f>Условие!C9</f>
        <v>65</v>
      </c>
      <c r="G6" s="11">
        <f>Условие!D9</f>
        <v>70</v>
      </c>
      <c r="H6" s="11">
        <v>0</v>
      </c>
      <c r="I6" s="11">
        <v>0</v>
      </c>
      <c r="J6" s="5"/>
      <c r="L6" s="20"/>
    </row>
    <row r="7" spans="1:12" ht="21.95" customHeight="1" x14ac:dyDescent="0.3">
      <c r="A7" s="13">
        <v>0</v>
      </c>
      <c r="B7" s="10" t="s">
        <v>67</v>
      </c>
      <c r="C7" s="9">
        <f>H$6</f>
        <v>0</v>
      </c>
      <c r="D7" s="14">
        <f>Условие!F6</f>
        <v>450</v>
      </c>
      <c r="E7" s="14">
        <f>Условие!B6</f>
        <v>1.5</v>
      </c>
      <c r="F7" s="14">
        <f>Условие!C6</f>
        <v>2</v>
      </c>
      <c r="G7" s="15">
        <f>Условие!D6</f>
        <v>3</v>
      </c>
      <c r="H7" s="14">
        <v>1</v>
      </c>
      <c r="I7" s="14">
        <v>0</v>
      </c>
      <c r="J7" s="14">
        <f>IF(G7&gt;0,D7/G7,"-")</f>
        <v>150</v>
      </c>
      <c r="L7" s="20"/>
    </row>
    <row r="8" spans="1:12" ht="21.95" customHeight="1" x14ac:dyDescent="0.3">
      <c r="A8" s="13"/>
      <c r="B8" s="10" t="s">
        <v>68</v>
      </c>
      <c r="C8" s="9">
        <f>I$6</f>
        <v>0</v>
      </c>
      <c r="D8" s="9">
        <f>Условие!F7</f>
        <v>600</v>
      </c>
      <c r="E8" s="9">
        <f>Условие!B7</f>
        <v>3</v>
      </c>
      <c r="F8" s="9">
        <f>Условие!C7</f>
        <v>2</v>
      </c>
      <c r="G8" s="14">
        <f>Условие!D7</f>
        <v>1.5</v>
      </c>
      <c r="H8" s="9">
        <v>0</v>
      </c>
      <c r="I8" s="9">
        <v>1</v>
      </c>
      <c r="J8" s="9">
        <f>IF(G8&gt;0,D8/G8,"-")</f>
        <v>400</v>
      </c>
      <c r="L8" s="20"/>
    </row>
    <row r="9" spans="1:12" ht="21.95" customHeight="1" x14ac:dyDescent="0.3">
      <c r="A9" s="5"/>
      <c r="B9" s="10" t="s">
        <v>71</v>
      </c>
      <c r="C9" s="16"/>
      <c r="D9" s="11">
        <f>SUMPRODUCT($C7:$C8,D7:D8)</f>
        <v>0</v>
      </c>
      <c r="E9" s="11">
        <f>SUMPRODUCT($C7:$C8,E7:E8)-E6</f>
        <v>-50</v>
      </c>
      <c r="F9" s="11">
        <f>SUMPRODUCT($C7:$C8,F7:F8)-F6</f>
        <v>-65</v>
      </c>
      <c r="G9" s="11">
        <f>SUMPRODUCT($C7:$C8,G7:G8)-G6</f>
        <v>-70</v>
      </c>
      <c r="H9" s="11">
        <f>SUMPRODUCT($C7:$C8,H7:H8)-H6</f>
        <v>0</v>
      </c>
      <c r="I9" s="11">
        <f>SUMPRODUCT($C7:$C8,I7:I8)-I6</f>
        <v>0</v>
      </c>
      <c r="J9" s="16"/>
      <c r="L9" s="20"/>
    </row>
    <row r="12" spans="1:12" ht="21.95" customHeight="1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52</v>
      </c>
      <c r="F12" s="2" t="s">
        <v>53</v>
      </c>
      <c r="G12" s="2" t="s">
        <v>54</v>
      </c>
      <c r="H12" s="2" t="s">
        <v>67</v>
      </c>
      <c r="I12" s="2" t="s">
        <v>68</v>
      </c>
      <c r="J12" s="2" t="s">
        <v>69</v>
      </c>
      <c r="L12" s="19"/>
    </row>
    <row r="13" spans="1:12" ht="21.95" customHeight="1" x14ac:dyDescent="0.3">
      <c r="A13" s="5"/>
      <c r="B13" s="5"/>
      <c r="C13" s="5"/>
      <c r="D13" s="10" t="s">
        <v>70</v>
      </c>
      <c r="E13" s="11">
        <f>E$6</f>
        <v>50</v>
      </c>
      <c r="F13" s="11">
        <f>F$6</f>
        <v>65</v>
      </c>
      <c r="G13" s="11">
        <f>G$6</f>
        <v>70</v>
      </c>
      <c r="H13" s="11">
        <f>H$6</f>
        <v>0</v>
      </c>
      <c r="I13" s="11">
        <f>I$6</f>
        <v>0</v>
      </c>
      <c r="J13" s="5"/>
      <c r="L13" s="20"/>
    </row>
    <row r="14" spans="1:12" ht="21.95" customHeight="1" x14ac:dyDescent="0.3">
      <c r="A14" s="13">
        <v>1</v>
      </c>
      <c r="B14" s="10" t="s">
        <v>54</v>
      </c>
      <c r="C14" s="9">
        <f>G$6</f>
        <v>70</v>
      </c>
      <c r="D14" s="14">
        <f t="shared" ref="D14:I14" si="0">D7/$G$7</f>
        <v>150</v>
      </c>
      <c r="E14" s="14">
        <f t="shared" si="0"/>
        <v>0.5</v>
      </c>
      <c r="F14" s="15">
        <f t="shared" si="0"/>
        <v>0.66666666666666663</v>
      </c>
      <c r="G14" s="14">
        <f t="shared" si="0"/>
        <v>1</v>
      </c>
      <c r="H14" s="14">
        <f t="shared" si="0"/>
        <v>0.33333333333333331</v>
      </c>
      <c r="I14" s="14">
        <f t="shared" si="0"/>
        <v>0</v>
      </c>
      <c r="J14" s="14">
        <f>IF(F14&gt;0,D14/F14,"-")</f>
        <v>225</v>
      </c>
      <c r="L14" s="20"/>
    </row>
    <row r="15" spans="1:12" ht="21.95" customHeight="1" x14ac:dyDescent="0.3">
      <c r="A15" s="13"/>
      <c r="B15" s="10" t="s">
        <v>68</v>
      </c>
      <c r="C15" s="9">
        <f>I$6</f>
        <v>0</v>
      </c>
      <c r="D15" s="9">
        <f t="shared" ref="D15:I15" si="1">D8-$G8*D14</f>
        <v>375</v>
      </c>
      <c r="E15" s="9">
        <f t="shared" si="1"/>
        <v>2.25</v>
      </c>
      <c r="F15" s="14">
        <f t="shared" si="1"/>
        <v>1</v>
      </c>
      <c r="G15" s="9">
        <f t="shared" si="1"/>
        <v>0</v>
      </c>
      <c r="H15" s="9">
        <f t="shared" si="1"/>
        <v>-0.5</v>
      </c>
      <c r="I15" s="9">
        <f t="shared" si="1"/>
        <v>1</v>
      </c>
      <c r="J15" s="9">
        <f>IF(F15&gt;0,D15/F15,"-")</f>
        <v>375</v>
      </c>
      <c r="L15" s="20"/>
    </row>
    <row r="16" spans="1:12" ht="21.95" customHeight="1" x14ac:dyDescent="0.3">
      <c r="A16" s="5"/>
      <c r="B16" s="10" t="s">
        <v>71</v>
      </c>
      <c r="C16" s="16"/>
      <c r="D16" s="11">
        <f>SUMPRODUCT($C14:$C15,D14:D15)</f>
        <v>10500</v>
      </c>
      <c r="E16" s="11">
        <f>SUMPRODUCT($C14:$C15,E14:E15)-E13</f>
        <v>-15</v>
      </c>
      <c r="F16" s="11">
        <f>SUMPRODUCT($C14:$C15,F14:F15)-F13</f>
        <v>-18.333333333333336</v>
      </c>
      <c r="G16" s="11">
        <f>SUMPRODUCT($C14:$C15,G14:G15)-G13</f>
        <v>0</v>
      </c>
      <c r="H16" s="11">
        <f>SUMPRODUCT($C14:$C15,H14:H15)-H13</f>
        <v>23.333333333333332</v>
      </c>
      <c r="I16" s="11">
        <f>SUMPRODUCT($C14:$C15,I14:I15)-I13</f>
        <v>0</v>
      </c>
      <c r="J16" s="16"/>
      <c r="L16" s="20"/>
    </row>
    <row r="19" spans="1:12" ht="21.95" customHeight="1" x14ac:dyDescent="0.3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52</v>
      </c>
      <c r="F19" s="2" t="s">
        <v>53</v>
      </c>
      <c r="G19" s="2" t="s">
        <v>54</v>
      </c>
      <c r="H19" s="2" t="s">
        <v>67</v>
      </c>
      <c r="I19" s="2" t="s">
        <v>68</v>
      </c>
      <c r="J19" s="2" t="s">
        <v>69</v>
      </c>
      <c r="L19" s="19"/>
    </row>
    <row r="20" spans="1:12" ht="21.95" customHeight="1" x14ac:dyDescent="0.3">
      <c r="A20" s="5"/>
      <c r="B20" s="5"/>
      <c r="C20" s="5"/>
      <c r="D20" s="10" t="s">
        <v>70</v>
      </c>
      <c r="E20" s="11">
        <f>E$6</f>
        <v>50</v>
      </c>
      <c r="F20" s="11">
        <f>F$6</f>
        <v>65</v>
      </c>
      <c r="G20" s="11">
        <f>G$6</f>
        <v>70</v>
      </c>
      <c r="H20" s="11">
        <f>H$6</f>
        <v>0</v>
      </c>
      <c r="I20" s="11">
        <f>I$6</f>
        <v>0</v>
      </c>
      <c r="J20" s="5"/>
      <c r="L20" s="20"/>
    </row>
    <row r="21" spans="1:12" ht="21.95" customHeight="1" x14ac:dyDescent="0.3">
      <c r="A21" s="13">
        <v>2</v>
      </c>
      <c r="B21" s="10" t="s">
        <v>53</v>
      </c>
      <c r="C21" s="9">
        <f>F$6</f>
        <v>65</v>
      </c>
      <c r="D21" s="9">
        <f t="shared" ref="D21:I21" si="2">D14/$F$14</f>
        <v>225</v>
      </c>
      <c r="E21" s="14">
        <f t="shared" si="2"/>
        <v>0.75</v>
      </c>
      <c r="F21" s="9">
        <f t="shared" si="2"/>
        <v>1</v>
      </c>
      <c r="G21" s="9">
        <f t="shared" si="2"/>
        <v>1.5</v>
      </c>
      <c r="H21" s="9">
        <f t="shared" si="2"/>
        <v>0.5</v>
      </c>
      <c r="I21" s="9">
        <f t="shared" si="2"/>
        <v>0</v>
      </c>
      <c r="J21" s="9">
        <f>IF(E21&gt;0,D21/E21,"-")</f>
        <v>300</v>
      </c>
      <c r="L21" s="20"/>
    </row>
    <row r="22" spans="1:12" ht="21.95" customHeight="1" x14ac:dyDescent="0.3">
      <c r="A22" s="13"/>
      <c r="B22" s="10" t="s">
        <v>68</v>
      </c>
      <c r="C22" s="9">
        <f>I$6</f>
        <v>0</v>
      </c>
      <c r="D22" s="14">
        <f t="shared" ref="D22:I22" si="3">D15-$F15*D21</f>
        <v>150</v>
      </c>
      <c r="E22" s="15">
        <f t="shared" si="3"/>
        <v>1.5</v>
      </c>
      <c r="F22" s="14">
        <f t="shared" si="3"/>
        <v>0</v>
      </c>
      <c r="G22" s="14">
        <f t="shared" si="3"/>
        <v>-1.5</v>
      </c>
      <c r="H22" s="14">
        <f t="shared" si="3"/>
        <v>-1</v>
      </c>
      <c r="I22" s="14">
        <f t="shared" si="3"/>
        <v>1</v>
      </c>
      <c r="J22" s="14">
        <f>IF(E22&gt;0,D22/E22,"-")</f>
        <v>100</v>
      </c>
      <c r="L22" s="20"/>
    </row>
    <row r="23" spans="1:12" ht="21.95" customHeight="1" x14ac:dyDescent="0.3">
      <c r="A23" s="5"/>
      <c r="B23" s="10" t="s">
        <v>71</v>
      </c>
      <c r="C23" s="16"/>
      <c r="D23" s="11">
        <f>SUMPRODUCT($C21:$C22,D21:D22)</f>
        <v>14625</v>
      </c>
      <c r="E23" s="11">
        <f>SUMPRODUCT($C21:$C22,E21:E22)-E20</f>
        <v>-1.25</v>
      </c>
      <c r="F23" s="11">
        <f>SUMPRODUCT($C21:$C22,F21:F22)-F20</f>
        <v>0</v>
      </c>
      <c r="G23" s="11">
        <f>SUMPRODUCT($C21:$C22,G21:G22)-G20</f>
        <v>27.5</v>
      </c>
      <c r="H23" s="11">
        <f>SUMPRODUCT($C21:$C22,H21:H22)-H20</f>
        <v>32.5</v>
      </c>
      <c r="I23" s="11">
        <f>SUMPRODUCT($C21:$C22,I21:I22)-I20</f>
        <v>0</v>
      </c>
      <c r="J23" s="16"/>
      <c r="L23" s="20"/>
    </row>
    <row r="26" spans="1:12" ht="24.05" customHeight="1" x14ac:dyDescent="0.3">
      <c r="A26" s="2" t="s">
        <v>63</v>
      </c>
      <c r="B26" s="2" t="s">
        <v>64</v>
      </c>
      <c r="C26" s="2" t="s">
        <v>65</v>
      </c>
      <c r="D26" s="2" t="s">
        <v>66</v>
      </c>
      <c r="E26" s="2" t="s">
        <v>52</v>
      </c>
      <c r="F26" s="2" t="s">
        <v>53</v>
      </c>
      <c r="G26" s="2" t="s">
        <v>54</v>
      </c>
      <c r="H26" s="2" t="s">
        <v>67</v>
      </c>
      <c r="I26" s="2" t="s">
        <v>68</v>
      </c>
      <c r="J26" s="2" t="s">
        <v>69</v>
      </c>
      <c r="L26" s="19"/>
    </row>
    <row r="27" spans="1:12" ht="24.05" customHeight="1" x14ac:dyDescent="0.3">
      <c r="A27" s="5"/>
      <c r="B27" s="5"/>
      <c r="C27" s="5"/>
      <c r="D27" s="10" t="s">
        <v>70</v>
      </c>
      <c r="E27" s="11">
        <f>E$6</f>
        <v>50</v>
      </c>
      <c r="F27" s="11">
        <f>F$6</f>
        <v>65</v>
      </c>
      <c r="G27" s="11">
        <f>G$6</f>
        <v>70</v>
      </c>
      <c r="H27" s="11">
        <f>H$6</f>
        <v>0</v>
      </c>
      <c r="I27" s="11">
        <f>I$6</f>
        <v>0</v>
      </c>
      <c r="J27" s="5"/>
      <c r="L27" s="20"/>
    </row>
    <row r="28" spans="1:12" ht="24.05" customHeight="1" x14ac:dyDescent="0.3">
      <c r="A28" s="13">
        <v>3</v>
      </c>
      <c r="B28" s="10" t="s">
        <v>53</v>
      </c>
      <c r="C28" s="9">
        <f>F$6</f>
        <v>65</v>
      </c>
      <c r="D28" s="9">
        <f t="shared" ref="D28:I28" si="4">D21-$E21*D29</f>
        <v>150</v>
      </c>
      <c r="E28" s="9">
        <f t="shared" si="4"/>
        <v>0</v>
      </c>
      <c r="F28" s="9">
        <f t="shared" si="4"/>
        <v>1</v>
      </c>
      <c r="G28" s="9">
        <f t="shared" si="4"/>
        <v>2.25</v>
      </c>
      <c r="H28" s="9">
        <f t="shared" si="4"/>
        <v>1</v>
      </c>
      <c r="I28" s="9">
        <f t="shared" si="4"/>
        <v>-0.5</v>
      </c>
      <c r="J28" s="5" t="s">
        <v>179</v>
      </c>
      <c r="L28" s="20"/>
    </row>
    <row r="29" spans="1:12" ht="24.05" customHeight="1" x14ac:dyDescent="0.3">
      <c r="A29" s="13"/>
      <c r="B29" s="10" t="s">
        <v>52</v>
      </c>
      <c r="C29" s="9">
        <f>E$6</f>
        <v>50</v>
      </c>
      <c r="D29" s="9">
        <f t="shared" ref="D29:I29" si="5">D22/$E$22</f>
        <v>100</v>
      </c>
      <c r="E29" s="9">
        <f t="shared" si="5"/>
        <v>1</v>
      </c>
      <c r="F29" s="9">
        <f t="shared" si="5"/>
        <v>0</v>
      </c>
      <c r="G29" s="9">
        <f t="shared" si="5"/>
        <v>-1</v>
      </c>
      <c r="H29" s="9">
        <f t="shared" si="5"/>
        <v>-0.66666666666666663</v>
      </c>
      <c r="I29" s="9">
        <f t="shared" si="5"/>
        <v>0.66666666666666663</v>
      </c>
      <c r="J29" s="5" t="s">
        <v>179</v>
      </c>
      <c r="L29" s="20"/>
    </row>
    <row r="30" spans="1:12" ht="24.05" customHeight="1" x14ac:dyDescent="0.3">
      <c r="A30" s="5"/>
      <c r="B30" s="10" t="s">
        <v>71</v>
      </c>
      <c r="C30" s="16"/>
      <c r="D30" s="11">
        <f>SUMPRODUCT($C28:$C29,D28:D29)</f>
        <v>14750</v>
      </c>
      <c r="E30" s="11">
        <f>SUMPRODUCT($C28:$C29,E28:E29)-E27</f>
        <v>0</v>
      </c>
      <c r="F30" s="11">
        <f>SUMPRODUCT($C28:$C29,F28:F29)-F27</f>
        <v>0</v>
      </c>
      <c r="G30" s="11">
        <f>SUMPRODUCT($C28:$C29,G28:G29)-G27</f>
        <v>26.25</v>
      </c>
      <c r="H30" s="11">
        <f>SUMPRODUCT($C28:$C29,H28:H29)-H27</f>
        <v>31.666666666666671</v>
      </c>
      <c r="I30" s="11">
        <f>SUMPRODUCT($C28:$C29,I28:I29)-I27</f>
        <v>0.8333333333333286</v>
      </c>
      <c r="J30" s="16"/>
      <c r="L30" s="20"/>
    </row>
    <row r="31" spans="1:12" ht="29.95" customHeight="1" x14ac:dyDescent="0.3">
      <c r="B31" s="28" t="s">
        <v>72</v>
      </c>
      <c r="C31" s="18"/>
      <c r="D31" s="18"/>
      <c r="E31" s="10" t="s">
        <v>73</v>
      </c>
      <c r="F31" s="10" t="s">
        <v>74</v>
      </c>
      <c r="G31" s="10" t="s">
        <v>75</v>
      </c>
      <c r="H31" s="10" t="s">
        <v>76</v>
      </c>
      <c r="I31" s="10" t="s">
        <v>77</v>
      </c>
      <c r="L31" s="1"/>
    </row>
    <row r="33" spans="1:10" x14ac:dyDescent="0.3">
      <c r="A33" s="22" t="s">
        <v>78</v>
      </c>
      <c r="B33" s="20"/>
      <c r="C33" s="20"/>
      <c r="D33" s="20"/>
      <c r="E33" s="20"/>
      <c r="F33" s="20"/>
      <c r="G33" s="20"/>
      <c r="H33" s="20"/>
      <c r="I33" s="20"/>
      <c r="J33" s="20"/>
    </row>
    <row r="34" spans="1:10" x14ac:dyDescent="0.3">
      <c r="A34" s="24" t="s">
        <v>79</v>
      </c>
      <c r="B34" s="18"/>
      <c r="C34" s="18"/>
      <c r="D34" s="18"/>
      <c r="E34" s="27" t="str">
        <f>IF(MIN(E30:I30)&gt;=-0.000001,"да - план оптимален","нет - нужна ещё итерация")</f>
        <v>да - план оптимален</v>
      </c>
      <c r="F34" s="18"/>
      <c r="G34" s="18"/>
      <c r="H34" s="18"/>
      <c r="I34" s="18"/>
      <c r="J34" s="18"/>
    </row>
    <row r="35" spans="1:10" x14ac:dyDescent="0.3">
      <c r="A35" s="24" t="s">
        <v>80</v>
      </c>
      <c r="B35" s="18"/>
      <c r="C35" s="18"/>
      <c r="D35" s="18"/>
      <c r="E35" s="27">
        <f>D29</f>
        <v>100</v>
      </c>
      <c r="F35" s="18"/>
      <c r="G35" s="18"/>
      <c r="H35" s="18"/>
      <c r="I35" s="18"/>
      <c r="J35" s="18"/>
    </row>
    <row r="36" spans="1:10" x14ac:dyDescent="0.3">
      <c r="A36" s="24" t="s">
        <v>81</v>
      </c>
      <c r="B36" s="18"/>
      <c r="C36" s="18"/>
      <c r="D36" s="18"/>
      <c r="E36" s="27">
        <f>D28</f>
        <v>150</v>
      </c>
      <c r="F36" s="18"/>
      <c r="G36" s="18"/>
      <c r="H36" s="18"/>
      <c r="I36" s="18"/>
      <c r="J36" s="18"/>
    </row>
    <row r="37" spans="1:10" x14ac:dyDescent="0.3">
      <c r="A37" s="24" t="s">
        <v>82</v>
      </c>
      <c r="B37" s="18"/>
      <c r="C37" s="18"/>
      <c r="D37" s="18"/>
      <c r="E37" s="27">
        <v>0</v>
      </c>
      <c r="F37" s="18"/>
      <c r="G37" s="18"/>
      <c r="H37" s="18"/>
      <c r="I37" s="18"/>
      <c r="J37" s="18"/>
    </row>
    <row r="38" spans="1:10" x14ac:dyDescent="0.3">
      <c r="A38" s="24" t="s">
        <v>83</v>
      </c>
      <c r="B38" s="18"/>
      <c r="C38" s="18"/>
      <c r="D38" s="18"/>
      <c r="E38" s="27">
        <f>D30</f>
        <v>14750</v>
      </c>
      <c r="F38" s="18"/>
      <c r="G38" s="18"/>
      <c r="H38" s="18"/>
      <c r="I38" s="18"/>
      <c r="J38" s="18"/>
    </row>
    <row r="39" spans="1:10" x14ac:dyDescent="0.3">
      <c r="A39" s="24" t="s">
        <v>84</v>
      </c>
      <c r="B39" s="18"/>
      <c r="C39" s="18"/>
      <c r="D39" s="18"/>
      <c r="E39" s="27" t="str">
        <f>IF(D28+D29&gt;=Условие!F8,"x1+x2+x3 = "&amp;ROUND(D28+D29,2)&amp;" ≥ 240 - выполнено","не выполнено")</f>
        <v>x1+x2+x3 = 250 ≥ 240 - выполнено</v>
      </c>
      <c r="F39" s="18"/>
      <c r="G39" s="18"/>
      <c r="H39" s="18"/>
      <c r="I39" s="18"/>
      <c r="J39" s="18"/>
    </row>
    <row r="40" spans="1:10" x14ac:dyDescent="0.3">
      <c r="A40" s="24" t="s">
        <v>180</v>
      </c>
      <c r="B40" s="18"/>
      <c r="C40" s="18"/>
      <c r="D40" s="18"/>
      <c r="E40" s="27">
        <f>D28+D29-Условие!F8</f>
        <v>10</v>
      </c>
      <c r="F40" s="18"/>
      <c r="G40" s="18"/>
      <c r="H40" s="18"/>
      <c r="I40" s="18"/>
      <c r="J40" s="18"/>
    </row>
    <row r="41" spans="1:10" x14ac:dyDescent="0.3">
      <c r="A41" s="24" t="s">
        <v>85</v>
      </c>
      <c r="B41" s="18"/>
      <c r="C41" s="18"/>
      <c r="D41" s="18"/>
      <c r="E41" s="27" t="str">
        <f>"("&amp;ROUND(H30,3)&amp;"; "&amp;ROUND(I30,3)&amp;"; 0)"</f>
        <v>(31.667; 0.833; 0)</v>
      </c>
      <c r="F41" s="18"/>
      <c r="G41" s="18"/>
      <c r="H41" s="18"/>
      <c r="I41" s="18"/>
      <c r="J41" s="18"/>
    </row>
  </sheetData>
  <mergeCells count="25">
    <mergeCell ref="A1:L1"/>
    <mergeCell ref="E39:J39"/>
    <mergeCell ref="E35:J35"/>
    <mergeCell ref="E38:J38"/>
    <mergeCell ref="A33:J33"/>
    <mergeCell ref="E41:J41"/>
    <mergeCell ref="E37:J37"/>
    <mergeCell ref="A41:D41"/>
    <mergeCell ref="L19:L23"/>
    <mergeCell ref="A37:D37"/>
    <mergeCell ref="B31:D31"/>
    <mergeCell ref="A3:L3"/>
    <mergeCell ref="A2:L2"/>
    <mergeCell ref="A40:D40"/>
    <mergeCell ref="A34:D34"/>
    <mergeCell ref="E36:J36"/>
    <mergeCell ref="A39:D39"/>
    <mergeCell ref="A36:D36"/>
    <mergeCell ref="L5:L9"/>
    <mergeCell ref="L12:L16"/>
    <mergeCell ref="A35:D35"/>
    <mergeCell ref="L26:L30"/>
    <mergeCell ref="A38:D38"/>
    <mergeCell ref="E40:J40"/>
    <mergeCell ref="E34:J34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4C66-3EE0-4105-832E-E89B31B6DF8A}">
  <dimension ref="A1:G30"/>
  <sheetViews>
    <sheetView showGridLines="0" workbookViewId="0"/>
  </sheetViews>
  <sheetFormatPr defaultRowHeight="15.05" x14ac:dyDescent="0.3"/>
  <cols>
    <col min="1" max="1" width="2.33203125" customWidth="1"/>
    <col min="2" max="2" width="6.77734375" bestFit="1" customWidth="1"/>
    <col min="3" max="3" width="35.77734375" bestFit="1" customWidth="1"/>
    <col min="4" max="4" width="17.21875" bestFit="1" customWidth="1"/>
    <col min="5" max="5" width="22" bestFit="1" customWidth="1"/>
    <col min="6" max="6" width="14" bestFit="1" customWidth="1"/>
    <col min="7" max="7" width="6.77734375" bestFit="1" customWidth="1"/>
  </cols>
  <sheetData>
    <row r="1" spans="1:5" x14ac:dyDescent="0.3">
      <c r="A1" s="30" t="s">
        <v>109</v>
      </c>
    </row>
    <row r="2" spans="1:5" x14ac:dyDescent="0.3">
      <c r="A2" s="30" t="s">
        <v>162</v>
      </c>
    </row>
    <row r="3" spans="1:5" x14ac:dyDescent="0.3">
      <c r="A3" s="30" t="s">
        <v>163</v>
      </c>
    </row>
    <row r="4" spans="1:5" x14ac:dyDescent="0.3">
      <c r="A4" s="30" t="s">
        <v>112</v>
      </c>
    </row>
    <row r="5" spans="1:5" x14ac:dyDescent="0.3">
      <c r="A5" s="30" t="s">
        <v>113</v>
      </c>
    </row>
    <row r="6" spans="1:5" x14ac:dyDescent="0.3">
      <c r="A6" s="30"/>
      <c r="B6" t="s">
        <v>114</v>
      </c>
    </row>
    <row r="7" spans="1:5" x14ac:dyDescent="0.3">
      <c r="A7" s="30"/>
      <c r="B7" t="s">
        <v>164</v>
      </c>
    </row>
    <row r="8" spans="1:5" x14ac:dyDescent="0.3">
      <c r="A8" s="30"/>
      <c r="B8" t="s">
        <v>116</v>
      </c>
    </row>
    <row r="9" spans="1:5" x14ac:dyDescent="0.3">
      <c r="A9" s="30" t="s">
        <v>117</v>
      </c>
    </row>
    <row r="10" spans="1:5" x14ac:dyDescent="0.3">
      <c r="B10" t="s">
        <v>118</v>
      </c>
    </row>
    <row r="11" spans="1:5" x14ac:dyDescent="0.3">
      <c r="B11" t="s">
        <v>119</v>
      </c>
    </row>
    <row r="14" spans="1:5" ht="15.75" thickBot="1" x14ac:dyDescent="0.35">
      <c r="A14" t="s">
        <v>165</v>
      </c>
    </row>
    <row r="15" spans="1:5" ht="15.75" thickBot="1" x14ac:dyDescent="0.35">
      <c r="B15" s="32" t="s">
        <v>121</v>
      </c>
      <c r="C15" s="32" t="s">
        <v>122</v>
      </c>
      <c r="D15" s="32" t="s">
        <v>123</v>
      </c>
      <c r="E15" s="32" t="s">
        <v>124</v>
      </c>
    </row>
    <row r="16" spans="1:5" ht="15.75" thickBot="1" x14ac:dyDescent="0.35">
      <c r="B16" s="31" t="s">
        <v>129</v>
      </c>
      <c r="C16" s="31" t="s">
        <v>92</v>
      </c>
      <c r="D16" s="34">
        <v>14750.000000000002</v>
      </c>
      <c r="E16" s="34">
        <v>14750</v>
      </c>
    </row>
    <row r="19" spans="1:7" ht="15.75" thickBot="1" x14ac:dyDescent="0.35">
      <c r="A19" t="s">
        <v>125</v>
      </c>
    </row>
    <row r="20" spans="1:7" ht="15.75" thickBot="1" x14ac:dyDescent="0.35">
      <c r="B20" s="32" t="s">
        <v>121</v>
      </c>
      <c r="C20" s="32" t="s">
        <v>122</v>
      </c>
      <c r="D20" s="32" t="s">
        <v>123</v>
      </c>
      <c r="E20" s="32" t="s">
        <v>124</v>
      </c>
      <c r="F20" s="32" t="s">
        <v>126</v>
      </c>
    </row>
    <row r="21" spans="1:7" x14ac:dyDescent="0.3">
      <c r="B21" s="33" t="s">
        <v>130</v>
      </c>
      <c r="C21" s="33" t="s">
        <v>166</v>
      </c>
      <c r="D21" s="35">
        <v>31.666666666666671</v>
      </c>
      <c r="E21" s="35">
        <v>31.666666666666668</v>
      </c>
      <c r="F21" s="33" t="s">
        <v>132</v>
      </c>
    </row>
    <row r="22" spans="1:7" x14ac:dyDescent="0.3">
      <c r="B22" s="33" t="s">
        <v>133</v>
      </c>
      <c r="C22" s="33" t="s">
        <v>167</v>
      </c>
      <c r="D22" s="35">
        <v>0.83333333333333337</v>
      </c>
      <c r="E22" s="35">
        <v>0.83333333333333215</v>
      </c>
      <c r="F22" s="33" t="s">
        <v>132</v>
      </c>
    </row>
    <row r="23" spans="1:7" ht="15.75" thickBot="1" x14ac:dyDescent="0.35">
      <c r="B23" s="31" t="s">
        <v>135</v>
      </c>
      <c r="C23" s="31" t="s">
        <v>168</v>
      </c>
      <c r="D23" s="34">
        <v>0</v>
      </c>
      <c r="E23" s="34">
        <v>0</v>
      </c>
      <c r="F23" s="31" t="s">
        <v>132</v>
      </c>
    </row>
    <row r="26" spans="1:7" ht="15.75" thickBot="1" x14ac:dyDescent="0.35">
      <c r="A26" t="s">
        <v>127</v>
      </c>
    </row>
    <row r="27" spans="1:7" ht="15.75" thickBot="1" x14ac:dyDescent="0.35">
      <c r="B27" s="32" t="s">
        <v>121</v>
      </c>
      <c r="C27" s="32" t="s">
        <v>122</v>
      </c>
      <c r="D27" s="32" t="s">
        <v>128</v>
      </c>
      <c r="E27" s="32" t="s">
        <v>102</v>
      </c>
      <c r="F27" s="32" t="s">
        <v>103</v>
      </c>
      <c r="G27" s="32" t="s">
        <v>104</v>
      </c>
    </row>
    <row r="28" spans="1:7" x14ac:dyDescent="0.3">
      <c r="B28" s="33" t="s">
        <v>137</v>
      </c>
      <c r="C28" s="33" t="s">
        <v>169</v>
      </c>
      <c r="D28" s="35">
        <v>50</v>
      </c>
      <c r="E28" s="33" t="s">
        <v>170</v>
      </c>
      <c r="F28" s="33" t="s">
        <v>105</v>
      </c>
      <c r="G28" s="35">
        <v>0</v>
      </c>
    </row>
    <row r="29" spans="1:7" x14ac:dyDescent="0.3">
      <c r="B29" s="33" t="s">
        <v>140</v>
      </c>
      <c r="C29" s="33" t="s">
        <v>171</v>
      </c>
      <c r="D29" s="35">
        <v>65</v>
      </c>
      <c r="E29" s="33" t="s">
        <v>172</v>
      </c>
      <c r="F29" s="33" t="s">
        <v>105</v>
      </c>
      <c r="G29" s="35">
        <v>0</v>
      </c>
    </row>
    <row r="30" spans="1:7" ht="15.75" thickBot="1" x14ac:dyDescent="0.35">
      <c r="B30" s="31" t="s">
        <v>143</v>
      </c>
      <c r="C30" s="31" t="s">
        <v>173</v>
      </c>
      <c r="D30" s="34">
        <v>96.25</v>
      </c>
      <c r="E30" s="31" t="s">
        <v>145</v>
      </c>
      <c r="F30" s="31" t="s">
        <v>106</v>
      </c>
      <c r="G30" s="34">
        <v>26.25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90BC-00DA-4FC0-B885-F36D0073FECC}">
  <dimension ref="A1:H18"/>
  <sheetViews>
    <sheetView showGridLines="0" workbookViewId="0"/>
  </sheetViews>
  <sheetFormatPr defaultRowHeight="15.05" x14ac:dyDescent="0.3"/>
  <cols>
    <col min="1" max="1" width="2.33203125" customWidth="1"/>
    <col min="2" max="2" width="6.77734375" bestFit="1" customWidth="1"/>
    <col min="3" max="3" width="35.77734375" bestFit="1" customWidth="1"/>
    <col min="4" max="4" width="13.77734375" bestFit="1" customWidth="1"/>
    <col min="5" max="5" width="10.77734375" bestFit="1" customWidth="1"/>
    <col min="6" max="6" width="15.44140625" bestFit="1" customWidth="1"/>
    <col min="7" max="8" width="12" bestFit="1" customWidth="1"/>
  </cols>
  <sheetData>
    <row r="1" spans="1:8" x14ac:dyDescent="0.3">
      <c r="A1" s="30" t="s">
        <v>146</v>
      </c>
    </row>
    <row r="2" spans="1:8" x14ac:dyDescent="0.3">
      <c r="A2" s="30" t="s">
        <v>162</v>
      </c>
    </row>
    <row r="3" spans="1:8" x14ac:dyDescent="0.3">
      <c r="A3" s="30" t="s">
        <v>163</v>
      </c>
    </row>
    <row r="6" spans="1:8" ht="15.75" thickBot="1" x14ac:dyDescent="0.35">
      <c r="A6" t="s">
        <v>125</v>
      </c>
    </row>
    <row r="7" spans="1:8" x14ac:dyDescent="0.3">
      <c r="B7" s="36"/>
      <c r="C7" s="36"/>
      <c r="D7" s="36" t="s">
        <v>147</v>
      </c>
      <c r="E7" s="36" t="s">
        <v>148</v>
      </c>
      <c r="F7" s="36" t="s">
        <v>21</v>
      </c>
      <c r="G7" s="36" t="s">
        <v>151</v>
      </c>
      <c r="H7" s="36" t="s">
        <v>151</v>
      </c>
    </row>
    <row r="8" spans="1:8" ht="15.75" thickBot="1" x14ac:dyDescent="0.35">
      <c r="B8" s="37" t="s">
        <v>121</v>
      </c>
      <c r="C8" s="37" t="s">
        <v>122</v>
      </c>
      <c r="D8" s="37" t="s">
        <v>107</v>
      </c>
      <c r="E8" s="37" t="s">
        <v>149</v>
      </c>
      <c r="F8" s="37" t="s">
        <v>150</v>
      </c>
      <c r="G8" s="37" t="s">
        <v>152</v>
      </c>
      <c r="H8" s="37" t="s">
        <v>153</v>
      </c>
    </row>
    <row r="9" spans="1:8" x14ac:dyDescent="0.3">
      <c r="B9" s="33" t="s">
        <v>130</v>
      </c>
      <c r="C9" s="33" t="s">
        <v>166</v>
      </c>
      <c r="D9" s="33">
        <v>31.666666666666668</v>
      </c>
      <c r="E9" s="33">
        <v>0</v>
      </c>
      <c r="F9" s="33">
        <v>450</v>
      </c>
      <c r="G9" s="33">
        <v>150</v>
      </c>
      <c r="H9" s="33">
        <v>30.000000000000018</v>
      </c>
    </row>
    <row r="10" spans="1:8" x14ac:dyDescent="0.3">
      <c r="B10" s="33" t="s">
        <v>133</v>
      </c>
      <c r="C10" s="33" t="s">
        <v>167</v>
      </c>
      <c r="D10" s="33">
        <v>0.83333333333333215</v>
      </c>
      <c r="E10" s="33">
        <v>0</v>
      </c>
      <c r="F10" s="33">
        <v>600</v>
      </c>
      <c r="G10" s="33">
        <v>300.00000000000006</v>
      </c>
      <c r="H10" s="33">
        <v>60.000000000000057</v>
      </c>
    </row>
    <row r="11" spans="1:8" ht="15.75" thickBot="1" x14ac:dyDescent="0.35">
      <c r="B11" s="31" t="s">
        <v>135</v>
      </c>
      <c r="C11" s="31" t="s">
        <v>168</v>
      </c>
      <c r="D11" s="31">
        <v>0</v>
      </c>
      <c r="E11" s="31">
        <v>10.000000000000007</v>
      </c>
      <c r="F11" s="31">
        <v>-240</v>
      </c>
      <c r="G11" s="31">
        <v>1E+30</v>
      </c>
      <c r="H11" s="31">
        <v>10.000000000000007</v>
      </c>
    </row>
    <row r="13" spans="1:8" ht="15.75" thickBot="1" x14ac:dyDescent="0.35">
      <c r="A13" t="s">
        <v>127</v>
      </c>
    </row>
    <row r="14" spans="1:8" x14ac:dyDescent="0.3">
      <c r="B14" s="36"/>
      <c r="C14" s="36"/>
      <c r="D14" s="36" t="s">
        <v>147</v>
      </c>
      <c r="E14" s="36" t="s">
        <v>154</v>
      </c>
      <c r="F14" s="36" t="s">
        <v>51</v>
      </c>
      <c r="G14" s="36" t="s">
        <v>151</v>
      </c>
      <c r="H14" s="36" t="s">
        <v>151</v>
      </c>
    </row>
    <row r="15" spans="1:8" ht="15.75" thickBot="1" x14ac:dyDescent="0.35">
      <c r="B15" s="37" t="s">
        <v>121</v>
      </c>
      <c r="C15" s="37" t="s">
        <v>122</v>
      </c>
      <c r="D15" s="37" t="s">
        <v>107</v>
      </c>
      <c r="E15" s="37" t="s">
        <v>155</v>
      </c>
      <c r="F15" s="37" t="s">
        <v>156</v>
      </c>
      <c r="G15" s="37" t="s">
        <v>152</v>
      </c>
      <c r="H15" s="37" t="s">
        <v>153</v>
      </c>
    </row>
    <row r="16" spans="1:8" x14ac:dyDescent="0.3">
      <c r="B16" s="33" t="s">
        <v>137</v>
      </c>
      <c r="C16" s="33" t="s">
        <v>169</v>
      </c>
      <c r="D16" s="33">
        <v>50</v>
      </c>
      <c r="E16" s="33">
        <v>99.999999999999986</v>
      </c>
      <c r="F16" s="33">
        <v>50</v>
      </c>
      <c r="G16" s="33">
        <v>26.250000000000007</v>
      </c>
      <c r="H16" s="33">
        <v>1.2499999999999982</v>
      </c>
    </row>
    <row r="17" spans="2:8" x14ac:dyDescent="0.3">
      <c r="B17" s="33" t="s">
        <v>140</v>
      </c>
      <c r="C17" s="33" t="s">
        <v>171</v>
      </c>
      <c r="D17" s="33">
        <v>65</v>
      </c>
      <c r="E17" s="33">
        <v>150.00000000000003</v>
      </c>
      <c r="F17" s="33">
        <v>65</v>
      </c>
      <c r="G17" s="33">
        <v>1.6666666666666643</v>
      </c>
      <c r="H17" s="33">
        <v>11.66666666666667</v>
      </c>
    </row>
    <row r="18" spans="2:8" ht="15.75" thickBot="1" x14ac:dyDescent="0.35">
      <c r="B18" s="31" t="s">
        <v>143</v>
      </c>
      <c r="C18" s="31" t="s">
        <v>173</v>
      </c>
      <c r="D18" s="31">
        <v>96.25</v>
      </c>
      <c r="E18" s="31">
        <v>0</v>
      </c>
      <c r="F18" s="31">
        <v>70</v>
      </c>
      <c r="G18" s="31">
        <v>26.250000000000007</v>
      </c>
      <c r="H18" s="31">
        <v>1E+30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8485-AA9F-4E7F-A16B-4FD9FD8D6642}">
  <dimension ref="A1:J15"/>
  <sheetViews>
    <sheetView showGridLines="0" workbookViewId="0">
      <selection sqref="A1:A3"/>
    </sheetView>
  </sheetViews>
  <sheetFormatPr defaultRowHeight="15.05" x14ac:dyDescent="0.3"/>
  <cols>
    <col min="1" max="1" width="2.33203125" customWidth="1"/>
    <col min="2" max="2" width="6.77734375" bestFit="1" customWidth="1"/>
    <col min="3" max="3" width="16.44140625" customWidth="1"/>
    <col min="4" max="4" width="8.6640625" bestFit="1" customWidth="1"/>
    <col min="5" max="5" width="2.33203125" customWidth="1"/>
    <col min="6" max="6" width="7.6640625" bestFit="1" customWidth="1"/>
    <col min="7" max="7" width="15.44140625" bestFit="1" customWidth="1"/>
    <col min="8" max="8" width="2.33203125" customWidth="1"/>
    <col min="9" max="9" width="8" bestFit="1" customWidth="1"/>
    <col min="10" max="10" width="15.44140625" bestFit="1" customWidth="1"/>
  </cols>
  <sheetData>
    <row r="1" spans="1:10" x14ac:dyDescent="0.3">
      <c r="A1" s="30" t="s">
        <v>157</v>
      </c>
    </row>
    <row r="2" spans="1:10" x14ac:dyDescent="0.3">
      <c r="A2" s="30" t="s">
        <v>162</v>
      </c>
    </row>
    <row r="3" spans="1:10" x14ac:dyDescent="0.3">
      <c r="A3" s="30" t="s">
        <v>163</v>
      </c>
    </row>
    <row r="5" spans="1:10" ht="15.75" thickBot="1" x14ac:dyDescent="0.35"/>
    <row r="6" spans="1:10" x14ac:dyDescent="0.3">
      <c r="B6" s="36"/>
      <c r="C6" s="36" t="s">
        <v>21</v>
      </c>
      <c r="D6" s="36"/>
    </row>
    <row r="7" spans="1:10" ht="15.75" thickBot="1" x14ac:dyDescent="0.35">
      <c r="B7" s="37" t="s">
        <v>121</v>
      </c>
      <c r="C7" s="37" t="s">
        <v>122</v>
      </c>
      <c r="D7" s="37" t="s">
        <v>107</v>
      </c>
    </row>
    <row r="8" spans="1:10" ht="15.75" thickBot="1" x14ac:dyDescent="0.35">
      <c r="B8" s="31" t="s">
        <v>129</v>
      </c>
      <c r="C8" s="31" t="s">
        <v>92</v>
      </c>
      <c r="D8" s="34">
        <v>14750</v>
      </c>
    </row>
    <row r="10" spans="1:10" ht="15.75" thickBot="1" x14ac:dyDescent="0.35"/>
    <row r="11" spans="1:10" x14ac:dyDescent="0.3">
      <c r="B11" s="36"/>
      <c r="C11" s="36" t="s">
        <v>44</v>
      </c>
      <c r="D11" s="36"/>
      <c r="F11" s="36" t="s">
        <v>158</v>
      </c>
      <c r="G11" s="36" t="s">
        <v>21</v>
      </c>
      <c r="I11" s="36" t="s">
        <v>161</v>
      </c>
      <c r="J11" s="36" t="s">
        <v>21</v>
      </c>
    </row>
    <row r="12" spans="1:10" ht="15.75" thickBot="1" x14ac:dyDescent="0.35">
      <c r="B12" s="37" t="s">
        <v>121</v>
      </c>
      <c r="C12" s="37" t="s">
        <v>122</v>
      </c>
      <c r="D12" s="37" t="s">
        <v>107</v>
      </c>
      <c r="F12" s="37" t="s">
        <v>159</v>
      </c>
      <c r="G12" s="37" t="s">
        <v>160</v>
      </c>
      <c r="I12" s="37" t="s">
        <v>159</v>
      </c>
      <c r="J12" s="37" t="s">
        <v>160</v>
      </c>
    </row>
    <row r="13" spans="1:10" x14ac:dyDescent="0.3">
      <c r="B13" s="33" t="s">
        <v>130</v>
      </c>
      <c r="C13" s="33" t="s">
        <v>166</v>
      </c>
      <c r="D13" s="35">
        <v>31.666666666666668</v>
      </c>
      <c r="F13" s="35">
        <v>31.666666666666668</v>
      </c>
      <c r="G13" s="35">
        <v>14750</v>
      </c>
      <c r="I13" s="33" t="s">
        <v>108</v>
      </c>
      <c r="J13" s="33" t="s">
        <v>108</v>
      </c>
    </row>
    <row r="14" spans="1:10" x14ac:dyDescent="0.3">
      <c r="B14" s="33" t="s">
        <v>133</v>
      </c>
      <c r="C14" s="33" t="s">
        <v>167</v>
      </c>
      <c r="D14" s="35">
        <v>0.83333333333333215</v>
      </c>
      <c r="F14" s="35">
        <v>0.83333333333333326</v>
      </c>
      <c r="G14" s="35">
        <v>14750</v>
      </c>
      <c r="I14" s="33" t="s">
        <v>108</v>
      </c>
      <c r="J14" s="33" t="s">
        <v>108</v>
      </c>
    </row>
    <row r="15" spans="1:10" ht="15.75" thickBot="1" x14ac:dyDescent="0.35">
      <c r="B15" s="31" t="s">
        <v>135</v>
      </c>
      <c r="C15" s="31" t="s">
        <v>168</v>
      </c>
      <c r="D15" s="34">
        <v>0</v>
      </c>
      <c r="F15" s="34">
        <v>0</v>
      </c>
      <c r="G15" s="34">
        <v>14750</v>
      </c>
      <c r="I15" s="34">
        <v>0</v>
      </c>
      <c r="J15" s="34">
        <v>14750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3"/>
  <sheetViews>
    <sheetView showGridLines="0" tabSelected="1" workbookViewId="0">
      <selection activeCell="B17" sqref="B17:E17"/>
    </sheetView>
  </sheetViews>
  <sheetFormatPr defaultRowHeight="15.05" x14ac:dyDescent="0.3"/>
  <cols>
    <col min="1" max="1" width="30" customWidth="1"/>
    <col min="2" max="2" width="9.33203125" bestFit="1" customWidth="1"/>
    <col min="3" max="3" width="9.21875" bestFit="1" customWidth="1"/>
    <col min="4" max="4" width="9.88671875" bestFit="1" customWidth="1"/>
    <col min="5" max="5" width="14" customWidth="1"/>
    <col min="6" max="6" width="4.5546875" bestFit="1" customWidth="1"/>
    <col min="7" max="7" width="11.6640625" bestFit="1" customWidth="1"/>
    <col min="8" max="8" width="11" customWidth="1"/>
    <col min="9" max="9" width="36.88671875" bestFit="1" customWidth="1"/>
  </cols>
  <sheetData>
    <row r="1" spans="1:9" x14ac:dyDescent="0.3">
      <c r="A1" s="23" t="s">
        <v>86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1"/>
      <c r="B2" s="20"/>
      <c r="C2" s="20"/>
      <c r="D2" s="20"/>
      <c r="E2" s="20"/>
      <c r="F2" s="20"/>
      <c r="G2" s="20"/>
      <c r="H2" s="20"/>
      <c r="I2" s="20"/>
    </row>
    <row r="4" spans="1:9" ht="26.2" x14ac:dyDescent="0.3">
      <c r="A4" s="2" t="s">
        <v>44</v>
      </c>
      <c r="B4" s="2" t="s">
        <v>87</v>
      </c>
      <c r="C4" s="2" t="s">
        <v>88</v>
      </c>
      <c r="D4" s="2" t="s">
        <v>89</v>
      </c>
    </row>
    <row r="5" spans="1:9" x14ac:dyDescent="0.3">
      <c r="A5" s="7" t="s">
        <v>90</v>
      </c>
      <c r="B5" s="8">
        <v>31.666666666666668</v>
      </c>
      <c r="C5" s="8">
        <v>0.83333333333333215</v>
      </c>
      <c r="D5" s="8">
        <v>0</v>
      </c>
    </row>
    <row r="6" spans="1:9" x14ac:dyDescent="0.3">
      <c r="A6" s="7" t="s">
        <v>91</v>
      </c>
      <c r="B6" s="9">
        <f>Условие!F6</f>
        <v>450</v>
      </c>
      <c r="C6" s="9">
        <f>Условие!F7</f>
        <v>600</v>
      </c>
      <c r="D6" s="9">
        <f>-Условие!F8</f>
        <v>-240</v>
      </c>
      <c r="E6" s="10" t="s">
        <v>92</v>
      </c>
      <c r="F6" s="25">
        <f>SUMPRODUCT($B$5:$D$5,B6:D6)</f>
        <v>14750</v>
      </c>
      <c r="G6" s="26"/>
      <c r="H6" s="10" t="s">
        <v>93</v>
      </c>
    </row>
    <row r="8" spans="1:9" x14ac:dyDescent="0.3">
      <c r="A8" s="2" t="s">
        <v>94</v>
      </c>
      <c r="B8" s="2" t="s">
        <v>76</v>
      </c>
      <c r="C8" s="2" t="s">
        <v>77</v>
      </c>
      <c r="D8" s="2" t="s">
        <v>95</v>
      </c>
      <c r="E8" s="2" t="s">
        <v>55</v>
      </c>
      <c r="F8" s="2" t="s">
        <v>6</v>
      </c>
      <c r="G8" s="2" t="s">
        <v>56</v>
      </c>
      <c r="H8" s="2" t="s">
        <v>96</v>
      </c>
      <c r="I8" s="2" t="s">
        <v>58</v>
      </c>
    </row>
    <row r="9" spans="1:9" x14ac:dyDescent="0.3">
      <c r="A9" s="3" t="s">
        <v>3</v>
      </c>
      <c r="B9" s="9">
        <f>Условие!B6</f>
        <v>1.5</v>
      </c>
      <c r="C9" s="9">
        <f>Условие!B7</f>
        <v>3</v>
      </c>
      <c r="D9" s="9">
        <f>-Условие!B8</f>
        <v>-1</v>
      </c>
      <c r="E9" s="11">
        <f>SUMPRODUCT($B$5:$D$5,B9:D9)</f>
        <v>50</v>
      </c>
      <c r="F9" s="5" t="s">
        <v>61</v>
      </c>
      <c r="G9" s="9">
        <f>Условие!B9</f>
        <v>50</v>
      </c>
      <c r="H9" s="9">
        <f>E9-G9</f>
        <v>0</v>
      </c>
      <c r="I9" s="6" t="str">
        <f>IF(ABS(H9)&lt;0.000001,"равенство → товар выгоден (входит в план)","ресурсы дороже прибыли → товар невыгоден, −"&amp;ROUND(H9,2)&amp;" на 1 тыс. р.")</f>
        <v>равенство → товар выгоден (входит в план)</v>
      </c>
    </row>
    <row r="10" spans="1:9" x14ac:dyDescent="0.3">
      <c r="A10" s="3" t="s">
        <v>4</v>
      </c>
      <c r="B10" s="9">
        <f>Условие!C6</f>
        <v>2</v>
      </c>
      <c r="C10" s="9">
        <f>Условие!C7</f>
        <v>2</v>
      </c>
      <c r="D10" s="9">
        <f>-Условие!C8</f>
        <v>-1</v>
      </c>
      <c r="E10" s="11">
        <f>SUMPRODUCT($B$5:$D$5,B10:D10)</f>
        <v>65</v>
      </c>
      <c r="F10" s="5" t="s">
        <v>61</v>
      </c>
      <c r="G10" s="9">
        <f>Условие!C9</f>
        <v>65</v>
      </c>
      <c r="H10" s="9">
        <f>E10-G10</f>
        <v>0</v>
      </c>
      <c r="I10" s="6" t="str">
        <f>IF(ABS(H10)&lt;0.000001,"равенство → товар выгоден (входит в план)","ресурсы дороже прибыли → товар невыгоден, −"&amp;ROUND(H10,2)&amp;" на 1 тыс. р.")</f>
        <v>равенство → товар выгоден (входит в план)</v>
      </c>
    </row>
    <row r="11" spans="1:9" ht="24.9" x14ac:dyDescent="0.3">
      <c r="A11" s="3" t="s">
        <v>5</v>
      </c>
      <c r="B11" s="9">
        <f>Условие!D6</f>
        <v>3</v>
      </c>
      <c r="C11" s="9">
        <f>Условие!D7</f>
        <v>1.5</v>
      </c>
      <c r="D11" s="9">
        <f>-Условие!D8</f>
        <v>-1</v>
      </c>
      <c r="E11" s="11">
        <f>SUMPRODUCT($B$5:$D$5,B11:D11)</f>
        <v>96.25</v>
      </c>
      <c r="F11" s="5" t="s">
        <v>61</v>
      </c>
      <c r="G11" s="9">
        <f>Условие!D9</f>
        <v>70</v>
      </c>
      <c r="H11" s="9">
        <f>E11-G11</f>
        <v>26.25</v>
      </c>
      <c r="I11" s="6" t="str">
        <f>IF(ABS(H11)&lt;0.000001,"равенство → товар выгоден (входит в план)","ресурсы дороже прибыли → товар невыгоден, −"&amp;ROUND(H11,2)&amp;" на 1 тыс. р.")</f>
        <v>ресурсы дороже прибыли → товар невыгоден, −26.25 на 1 тыс. р.</v>
      </c>
    </row>
    <row r="13" spans="1:9" x14ac:dyDescent="0.3">
      <c r="A13" s="22" t="s">
        <v>97</v>
      </c>
      <c r="B13" s="20"/>
      <c r="C13" s="20"/>
      <c r="D13" s="20"/>
      <c r="E13" s="20"/>
      <c r="F13" s="20"/>
      <c r="G13" s="20"/>
      <c r="H13" s="20"/>
      <c r="I13" s="20"/>
    </row>
    <row r="14" spans="1:9" x14ac:dyDescent="0.3">
      <c r="A14" s="7" t="s">
        <v>98</v>
      </c>
      <c r="B14" s="27">
        <f>'Прямая задача'!F6</f>
        <v>14750</v>
      </c>
      <c r="C14" s="18"/>
      <c r="D14" s="18"/>
      <c r="E14" s="18"/>
    </row>
    <row r="15" spans="1:9" x14ac:dyDescent="0.3">
      <c r="A15" s="7" t="s">
        <v>99</v>
      </c>
      <c r="B15" s="27">
        <f>F6</f>
        <v>14750</v>
      </c>
      <c r="C15" s="18"/>
      <c r="D15" s="18"/>
      <c r="E15" s="18"/>
    </row>
    <row r="16" spans="1:9" x14ac:dyDescent="0.3">
      <c r="A16" s="7" t="s">
        <v>100</v>
      </c>
      <c r="B16" s="27" t="str">
        <f>IF(ABS(B14-B15)&lt;0.001,"да: Z max = f min - решения верны","нет")</f>
        <v>да: Z max = f min - решения верны</v>
      </c>
      <c r="C16" s="18"/>
      <c r="D16" s="18"/>
      <c r="E16" s="18"/>
    </row>
    <row r="17" spans="1:9" x14ac:dyDescent="0.3">
      <c r="A17" s="7" t="s">
        <v>101</v>
      </c>
      <c r="B17" s="29" t="str">
        <f>ROUND('Симплекс-метод'!H30,3)&amp;"; "&amp;ROUND('Симплекс-метод'!I30,3)&amp;" - те же, что в B5:C5"</f>
        <v>31.667; 0.833 - те же, что в B5:C5</v>
      </c>
      <c r="C17" s="18"/>
      <c r="D17" s="18"/>
      <c r="E17" s="18"/>
    </row>
    <row r="19" spans="1:9" x14ac:dyDescent="0.3">
      <c r="A19" s="22"/>
      <c r="B19" s="20"/>
      <c r="C19" s="20"/>
      <c r="D19" s="20"/>
      <c r="E19" s="20"/>
      <c r="F19" s="20"/>
      <c r="G19" s="20"/>
      <c r="H19" s="20"/>
      <c r="I19" s="20"/>
    </row>
    <row r="20" spans="1:9" x14ac:dyDescent="0.3">
      <c r="A20" s="19"/>
      <c r="B20" s="20"/>
      <c r="C20" s="20"/>
      <c r="D20" s="20"/>
      <c r="E20" s="20"/>
      <c r="F20" s="20"/>
      <c r="G20" s="20"/>
      <c r="H20" s="20"/>
      <c r="I20" s="20"/>
    </row>
    <row r="21" spans="1:9" x14ac:dyDescent="0.3">
      <c r="A21" s="19"/>
      <c r="B21" s="20"/>
      <c r="C21" s="20"/>
      <c r="D21" s="20"/>
      <c r="E21" s="20"/>
      <c r="F21" s="20"/>
      <c r="G21" s="20"/>
      <c r="H21" s="20"/>
      <c r="I21" s="20"/>
    </row>
    <row r="22" spans="1:9" x14ac:dyDescent="0.3">
      <c r="A22" s="19"/>
      <c r="B22" s="20"/>
      <c r="C22" s="20"/>
      <c r="D22" s="20"/>
      <c r="E22" s="20"/>
      <c r="F22" s="20"/>
      <c r="G22" s="20"/>
      <c r="H22" s="20"/>
      <c r="I22" s="20"/>
    </row>
    <row r="23" spans="1:9" x14ac:dyDescent="0.3">
      <c r="A23" s="19"/>
      <c r="B23" s="20"/>
      <c r="C23" s="20"/>
      <c r="D23" s="20"/>
      <c r="E23" s="20"/>
      <c r="F23" s="20"/>
      <c r="G23" s="20"/>
      <c r="H23" s="20"/>
      <c r="I23" s="20"/>
    </row>
  </sheetData>
  <mergeCells count="13">
    <mergeCell ref="A1:I1"/>
    <mergeCell ref="B15:E15"/>
    <mergeCell ref="A23:I23"/>
    <mergeCell ref="F6:G6"/>
    <mergeCell ref="A22:I22"/>
    <mergeCell ref="A20:I20"/>
    <mergeCell ref="A21:I21"/>
    <mergeCell ref="B14:E14"/>
    <mergeCell ref="B17:E17"/>
    <mergeCell ref="A2:I2"/>
    <mergeCell ref="A19:I19"/>
    <mergeCell ref="A13:I13"/>
    <mergeCell ref="B16:E16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Условие</vt:lpstr>
      <vt:lpstr>Отчет о результатах 1</vt:lpstr>
      <vt:lpstr>Отчет об устойчивости 1</vt:lpstr>
      <vt:lpstr>Отчет о пределах 1</vt:lpstr>
      <vt:lpstr>Прямая задача</vt:lpstr>
      <vt:lpstr>Симплекс-метод</vt:lpstr>
      <vt:lpstr>Отчет о результатах 2</vt:lpstr>
      <vt:lpstr>Отчет об устойчивости 2</vt:lpstr>
      <vt:lpstr>Отчет о пределах 2</vt:lpstr>
      <vt:lpstr>Двойственная задача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2026-10-11T13:12:54Z</dcterms:created>
  <dcterms:modified xsi:type="dcterms:W3CDTF">2026-10-11T14:09:52Z</dcterms:modified>
</cp:coreProperties>
</file>